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1" sheetId="1" state="visible" r:id="rId1"/>
    <sheet name="Case 2" sheetId="2" state="visible" r:id="rId2"/>
    <sheet name="Case 3" sheetId="3" state="visible" r:id="rId3"/>
    <sheet name="Case 4" sheetId="4" state="visible" r:id="rId4"/>
    <sheet name="Case 5" sheetId="5" state="visible" r:id="rId5"/>
    <sheet name="Case 6" sheetId="6" state="visible" r:id="rId6"/>
    <sheet name="Case 7" sheetId="7" state="visible" r:id="rId7"/>
    <sheet name="Case 8" sheetId="8" state="visible" r:id="rId8"/>
    <sheet name="Case 9" sheetId="9" state="visible" r:id="rId9"/>
    <sheet name="Case 10" sheetId="10" state="visible" r:id="rId10"/>
    <sheet name="Case 11" sheetId="11" state="visible" r:id="rId11"/>
    <sheet name="Case 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interest-only, 30/360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12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30/360</t>
        </is>
      </c>
    </row>
    <row r="7">
      <c r="A7" t="inlineStr">
        <is>
          <t>Repayment</t>
        </is>
      </c>
      <c r="B7" t="inlineStr">
        <is>
          <t>interestOnly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0.1</v>
      </c>
      <c r="F13">
        <f>$B$3</f>
        <v/>
      </c>
      <c r="G13">
        <f>ROUND(F13*E13/12,2)</f>
        <v/>
      </c>
      <c r="H13" t="n">
        <v>0</v>
      </c>
      <c r="I13">
        <f>G13+H13</f>
        <v/>
      </c>
      <c r="J13">
        <f>F13-H13</f>
        <v/>
      </c>
      <c r="L13" s="2">
        <f>B5</f>
        <v/>
      </c>
      <c r="M13">
        <f>B29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0.1</v>
      </c>
      <c r="F14">
        <f>J13</f>
        <v/>
      </c>
      <c r="G14">
        <f>ROUND(F14*E14/12,2)</f>
        <v/>
      </c>
      <c r="H14" t="n">
        <v>0</v>
      </c>
      <c r="I14">
        <f>G14+H14</f>
        <v/>
      </c>
      <c r="J14">
        <f>F14-H14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0.1</v>
      </c>
      <c r="F15">
        <f>J14</f>
        <v/>
      </c>
      <c r="G15">
        <f>ROUND(F15*E15/12,2)</f>
        <v/>
      </c>
      <c r="H15" t="n">
        <v>0</v>
      </c>
      <c r="I15">
        <f>G15+H15</f>
        <v/>
      </c>
      <c r="J15">
        <f>F15-H15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0.1</v>
      </c>
      <c r="F16">
        <f>J15</f>
        <v/>
      </c>
      <c r="G16">
        <f>ROUND(F16*E16/12,2)</f>
        <v/>
      </c>
      <c r="H16" t="n">
        <v>0</v>
      </c>
      <c r="I16">
        <f>G16+H16</f>
        <v/>
      </c>
      <c r="J16">
        <f>F16-H16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0.1</v>
      </c>
      <c r="F17">
        <f>J16</f>
        <v/>
      </c>
      <c r="G17">
        <f>ROUND(F17*E17/12,2)</f>
        <v/>
      </c>
      <c r="H17" t="n">
        <v>0</v>
      </c>
      <c r="I17">
        <f>G17+H17</f>
        <v/>
      </c>
      <c r="J17">
        <f>F17-H17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0.1</v>
      </c>
      <c r="F18">
        <f>J17</f>
        <v/>
      </c>
      <c r="G18">
        <f>ROUND(F18*E18/12,2)</f>
        <v/>
      </c>
      <c r="H18" t="n">
        <v>0</v>
      </c>
      <c r="I18">
        <f>G18+H18</f>
        <v/>
      </c>
      <c r="J18">
        <f>F18-H18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0.1</v>
      </c>
      <c r="F19">
        <f>J18</f>
        <v/>
      </c>
      <c r="G19">
        <f>ROUND(F19*E19/12,2)</f>
        <v/>
      </c>
      <c r="H19" t="n">
        <v>0</v>
      </c>
      <c r="I19">
        <f>G19+H19</f>
        <v/>
      </c>
      <c r="J19">
        <f>F19-H19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0.1</v>
      </c>
      <c r="F20">
        <f>J19</f>
        <v/>
      </c>
      <c r="G20">
        <f>ROUND(F20*E20/12,2)</f>
        <v/>
      </c>
      <c r="H20" t="n">
        <v>0</v>
      </c>
      <c r="I20">
        <f>G20+H20</f>
        <v/>
      </c>
      <c r="J20">
        <f>F20-H20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0.1</v>
      </c>
      <c r="F21">
        <f>J20</f>
        <v/>
      </c>
      <c r="G21">
        <f>ROUND(F21*E21/12,2)</f>
        <v/>
      </c>
      <c r="H21" t="n">
        <v>0</v>
      </c>
      <c r="I21">
        <f>G21+H21</f>
        <v/>
      </c>
      <c r="J21">
        <f>F21-H21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0.1</v>
      </c>
      <c r="F22">
        <f>J21</f>
        <v/>
      </c>
      <c r="G22">
        <f>ROUND(F22*E22/12,2)</f>
        <v/>
      </c>
      <c r="H22" t="n">
        <v>0</v>
      </c>
      <c r="I22">
        <f>G22+H22</f>
        <v/>
      </c>
      <c r="J22">
        <f>F22-H22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0.1</v>
      </c>
      <c r="F23">
        <f>J22</f>
        <v/>
      </c>
      <c r="G23">
        <f>ROUND(F23*E23/12,2)</f>
        <v/>
      </c>
      <c r="H23" t="n">
        <v>0</v>
      </c>
      <c r="I23">
        <f>G23+H23</f>
        <v/>
      </c>
      <c r="J23">
        <f>F23-H23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0.1</v>
      </c>
      <c r="F24">
        <f>J23</f>
        <v/>
      </c>
      <c r="G24">
        <f>ROUND(F24*E24/12,2)</f>
        <v/>
      </c>
      <c r="H24">
        <f>F24</f>
        <v/>
      </c>
      <c r="I24">
        <f>G24+H24</f>
        <v/>
      </c>
      <c r="J24">
        <f>F24-H24</f>
        <v/>
      </c>
      <c r="L24" s="2">
        <f>C23</f>
        <v/>
      </c>
      <c r="M24">
        <f>-I23</f>
        <v/>
      </c>
    </row>
    <row r="25">
      <c r="L25" s="2">
        <f>C24</f>
        <v/>
      </c>
      <c r="M25">
        <f>-I24</f>
        <v/>
      </c>
    </row>
    <row r="26">
      <c r="A26" s="1" t="inlineStr">
        <is>
          <t>Total interest</t>
        </is>
      </c>
      <c r="B26">
        <f>SUM(G13:G24)</f>
        <v/>
      </c>
    </row>
    <row r="27">
      <c r="A27" s="1" t="inlineStr">
        <is>
          <t>Total payback</t>
        </is>
      </c>
      <c r="B27">
        <f>SUM(I13:I24)</f>
        <v/>
      </c>
    </row>
    <row r="28">
      <c r="A28" s="1" t="inlineStr">
        <is>
          <t>Interest share of payback</t>
        </is>
      </c>
      <c r="B28">
        <f>B26/B27</f>
        <v/>
      </c>
    </row>
    <row r="29">
      <c r="A29" s="1" t="inlineStr">
        <is>
          <t>Money received (loan - fee)</t>
        </is>
      </c>
      <c r="B29">
        <f>B3-B9</f>
        <v/>
      </c>
    </row>
    <row r="30">
      <c r="A30" s="1" t="inlineStr">
        <is>
          <t>Effective APR (XIRR)</t>
        </is>
      </c>
      <c r="B30">
        <f>XIRR(M13:M25,L13:L25)</f>
        <v/>
      </c>
    </row>
    <row r="33">
      <c r="A33" s="1" t="inlineStr">
        <is>
          <t>Expected by the page (Python reference):</t>
        </is>
      </c>
    </row>
    <row r="34">
      <c r="A34" t="inlineStr">
        <is>
          <t>totalInterest</t>
        </is>
      </c>
      <c r="B34" t="n">
        <v>999.96</v>
      </c>
    </row>
    <row r="35">
      <c r="A35" t="inlineStr">
        <is>
          <t>totalPayback</t>
        </is>
      </c>
      <c r="B35" t="n">
        <v>10999.96</v>
      </c>
    </row>
    <row r="36">
      <c r="A36" t="inlineStr">
        <is>
          <t>effectiveApr</t>
        </is>
      </c>
      <c r="B36" t="n">
        <v>0.1047325583939008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interest-only, act/365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12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act/365</t>
        </is>
      </c>
    </row>
    <row r="7">
      <c r="A7" t="inlineStr">
        <is>
          <t>Repayment</t>
        </is>
      </c>
      <c r="B7" t="inlineStr">
        <is>
          <t>interestOnly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0.1</v>
      </c>
      <c r="F13">
        <f>$B$3</f>
        <v/>
      </c>
      <c r="G13">
        <f>ROUND(F13*E13*D13/365,2)</f>
        <v/>
      </c>
      <c r="H13" t="n">
        <v>0</v>
      </c>
      <c r="I13">
        <f>G13+H13</f>
        <v/>
      </c>
      <c r="J13">
        <f>F13-H13</f>
        <v/>
      </c>
      <c r="L13" s="2">
        <f>B5</f>
        <v/>
      </c>
      <c r="M13">
        <f>B29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0.1</v>
      </c>
      <c r="F14">
        <f>J13</f>
        <v/>
      </c>
      <c r="G14">
        <f>ROUND(F14*E14*D14/365,2)</f>
        <v/>
      </c>
      <c r="H14" t="n">
        <v>0</v>
      </c>
      <c r="I14">
        <f>G14+H14</f>
        <v/>
      </c>
      <c r="J14">
        <f>F14-H14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0.1</v>
      </c>
      <c r="F15">
        <f>J14</f>
        <v/>
      </c>
      <c r="G15">
        <f>ROUND(F15*E15*D15/365,2)</f>
        <v/>
      </c>
      <c r="H15" t="n">
        <v>0</v>
      </c>
      <c r="I15">
        <f>G15+H15</f>
        <v/>
      </c>
      <c r="J15">
        <f>F15-H15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0.1</v>
      </c>
      <c r="F16">
        <f>J15</f>
        <v/>
      </c>
      <c r="G16">
        <f>ROUND(F16*E16*D16/365,2)</f>
        <v/>
      </c>
      <c r="H16" t="n">
        <v>0</v>
      </c>
      <c r="I16">
        <f>G16+H16</f>
        <v/>
      </c>
      <c r="J16">
        <f>F16-H16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0.1</v>
      </c>
      <c r="F17">
        <f>J16</f>
        <v/>
      </c>
      <c r="G17">
        <f>ROUND(F17*E17*D17/365,2)</f>
        <v/>
      </c>
      <c r="H17" t="n">
        <v>0</v>
      </c>
      <c r="I17">
        <f>G17+H17</f>
        <v/>
      </c>
      <c r="J17">
        <f>F17-H17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0.1</v>
      </c>
      <c r="F18">
        <f>J17</f>
        <v/>
      </c>
      <c r="G18">
        <f>ROUND(F18*E18*D18/365,2)</f>
        <v/>
      </c>
      <c r="H18" t="n">
        <v>0</v>
      </c>
      <c r="I18">
        <f>G18+H18</f>
        <v/>
      </c>
      <c r="J18">
        <f>F18-H18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0.1</v>
      </c>
      <c r="F19">
        <f>J18</f>
        <v/>
      </c>
      <c r="G19">
        <f>ROUND(F19*E19*D19/365,2)</f>
        <v/>
      </c>
      <c r="H19" t="n">
        <v>0</v>
      </c>
      <c r="I19">
        <f>G19+H19</f>
        <v/>
      </c>
      <c r="J19">
        <f>F19-H19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0.1</v>
      </c>
      <c r="F20">
        <f>J19</f>
        <v/>
      </c>
      <c r="G20">
        <f>ROUND(F20*E20*D20/365,2)</f>
        <v/>
      </c>
      <c r="H20" t="n">
        <v>0</v>
      </c>
      <c r="I20">
        <f>G20+H20</f>
        <v/>
      </c>
      <c r="J20">
        <f>F20-H20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0.1</v>
      </c>
      <c r="F21">
        <f>J20</f>
        <v/>
      </c>
      <c r="G21">
        <f>ROUND(F21*E21*D21/365,2)</f>
        <v/>
      </c>
      <c r="H21" t="n">
        <v>0</v>
      </c>
      <c r="I21">
        <f>G21+H21</f>
        <v/>
      </c>
      <c r="J21">
        <f>F21-H21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0.1</v>
      </c>
      <c r="F22">
        <f>J21</f>
        <v/>
      </c>
      <c r="G22">
        <f>ROUND(F22*E22*D22/365,2)</f>
        <v/>
      </c>
      <c r="H22" t="n">
        <v>0</v>
      </c>
      <c r="I22">
        <f>G22+H22</f>
        <v/>
      </c>
      <c r="J22">
        <f>F22-H22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0.1</v>
      </c>
      <c r="F23">
        <f>J22</f>
        <v/>
      </c>
      <c r="G23">
        <f>ROUND(F23*E23*D23/365,2)</f>
        <v/>
      </c>
      <c r="H23" t="n">
        <v>0</v>
      </c>
      <c r="I23">
        <f>G23+H23</f>
        <v/>
      </c>
      <c r="J23">
        <f>F23-H23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0.1</v>
      </c>
      <c r="F24">
        <f>J23</f>
        <v/>
      </c>
      <c r="G24">
        <f>ROUND(F24*E24*D24/365,2)</f>
        <v/>
      </c>
      <c r="H24">
        <f>F24</f>
        <v/>
      </c>
      <c r="I24">
        <f>G24+H24</f>
        <v/>
      </c>
      <c r="J24">
        <f>F24-H24</f>
        <v/>
      </c>
      <c r="L24" s="2">
        <f>C23</f>
        <v/>
      </c>
      <c r="M24">
        <f>-I23</f>
        <v/>
      </c>
    </row>
    <row r="25">
      <c r="L25" s="2">
        <f>C24</f>
        <v/>
      </c>
      <c r="M25">
        <f>-I24</f>
        <v/>
      </c>
    </row>
    <row r="26">
      <c r="A26" s="1" t="inlineStr">
        <is>
          <t>Total interest</t>
        </is>
      </c>
      <c r="B26">
        <f>SUM(G13:G24)</f>
        <v/>
      </c>
    </row>
    <row r="27">
      <c r="A27" s="1" t="inlineStr">
        <is>
          <t>Total payback</t>
        </is>
      </c>
      <c r="B27">
        <f>SUM(I13:I24)</f>
        <v/>
      </c>
    </row>
    <row r="28">
      <c r="A28" s="1" t="inlineStr">
        <is>
          <t>Interest share of payback</t>
        </is>
      </c>
      <c r="B28">
        <f>B26/B27</f>
        <v/>
      </c>
    </row>
    <row r="29">
      <c r="A29" s="1" t="inlineStr">
        <is>
          <t>Money received (loan - fee)</t>
        </is>
      </c>
      <c r="B29">
        <f>B3-B9</f>
        <v/>
      </c>
    </row>
    <row r="30">
      <c r="A30" s="1" t="inlineStr">
        <is>
          <t>Effective APR (XIRR)</t>
        </is>
      </c>
      <c r="B30">
        <f>XIRR(M13:M25,L13:L25)</f>
        <v/>
      </c>
    </row>
    <row r="33">
      <c r="A33" s="1" t="inlineStr">
        <is>
          <t>Expected by the page (Python reference):</t>
        </is>
      </c>
    </row>
    <row r="34">
      <c r="A34" t="inlineStr">
        <is>
          <t>totalInterest</t>
        </is>
      </c>
      <c r="B34" t="n">
        <v>999.98</v>
      </c>
    </row>
    <row r="35">
      <c r="A35" t="inlineStr">
        <is>
          <t>totalPayback</t>
        </is>
      </c>
      <c r="B35" t="n">
        <v>10999.98</v>
      </c>
    </row>
    <row r="36">
      <c r="A36" t="inlineStr">
        <is>
          <t>effectiveApr</t>
        </is>
      </c>
      <c r="B36" t="n">
        <v>0.104710598249467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interest-only, act/360, 1% fee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12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act/360</t>
        </is>
      </c>
    </row>
    <row r="7">
      <c r="A7" t="inlineStr">
        <is>
          <t>Repayment</t>
        </is>
      </c>
      <c r="B7" t="inlineStr">
        <is>
          <t>interestOnly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100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0.1</v>
      </c>
      <c r="F13">
        <f>$B$3</f>
        <v/>
      </c>
      <c r="G13">
        <f>ROUND(F13*E13*D13/360,2)</f>
        <v/>
      </c>
      <c r="H13" t="n">
        <v>0</v>
      </c>
      <c r="I13">
        <f>G13+H13</f>
        <v/>
      </c>
      <c r="J13">
        <f>F13-H13</f>
        <v/>
      </c>
      <c r="L13" s="2">
        <f>B5</f>
        <v/>
      </c>
      <c r="M13">
        <f>B29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0.1</v>
      </c>
      <c r="F14">
        <f>J13</f>
        <v/>
      </c>
      <c r="G14">
        <f>ROUND(F14*E14*D14/360,2)</f>
        <v/>
      </c>
      <c r="H14" t="n">
        <v>0</v>
      </c>
      <c r="I14">
        <f>G14+H14</f>
        <v/>
      </c>
      <c r="J14">
        <f>F14-H14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0.1</v>
      </c>
      <c r="F15">
        <f>J14</f>
        <v/>
      </c>
      <c r="G15">
        <f>ROUND(F15*E15*D15/360,2)</f>
        <v/>
      </c>
      <c r="H15" t="n">
        <v>0</v>
      </c>
      <c r="I15">
        <f>G15+H15</f>
        <v/>
      </c>
      <c r="J15">
        <f>F15-H15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0.1</v>
      </c>
      <c r="F16">
        <f>J15</f>
        <v/>
      </c>
      <c r="G16">
        <f>ROUND(F16*E16*D16/360,2)</f>
        <v/>
      </c>
      <c r="H16" t="n">
        <v>0</v>
      </c>
      <c r="I16">
        <f>G16+H16</f>
        <v/>
      </c>
      <c r="J16">
        <f>F16-H16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0.1</v>
      </c>
      <c r="F17">
        <f>J16</f>
        <v/>
      </c>
      <c r="G17">
        <f>ROUND(F17*E17*D17/360,2)</f>
        <v/>
      </c>
      <c r="H17" t="n">
        <v>0</v>
      </c>
      <c r="I17">
        <f>G17+H17</f>
        <v/>
      </c>
      <c r="J17">
        <f>F17-H17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0.1</v>
      </c>
      <c r="F18">
        <f>J17</f>
        <v/>
      </c>
      <c r="G18">
        <f>ROUND(F18*E18*D18/360,2)</f>
        <v/>
      </c>
      <c r="H18" t="n">
        <v>0</v>
      </c>
      <c r="I18">
        <f>G18+H18</f>
        <v/>
      </c>
      <c r="J18">
        <f>F18-H18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0.1</v>
      </c>
      <c r="F19">
        <f>J18</f>
        <v/>
      </c>
      <c r="G19">
        <f>ROUND(F19*E19*D19/360,2)</f>
        <v/>
      </c>
      <c r="H19" t="n">
        <v>0</v>
      </c>
      <c r="I19">
        <f>G19+H19</f>
        <v/>
      </c>
      <c r="J19">
        <f>F19-H19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0.1</v>
      </c>
      <c r="F20">
        <f>J19</f>
        <v/>
      </c>
      <c r="G20">
        <f>ROUND(F20*E20*D20/360,2)</f>
        <v/>
      </c>
      <c r="H20" t="n">
        <v>0</v>
      </c>
      <c r="I20">
        <f>G20+H20</f>
        <v/>
      </c>
      <c r="J20">
        <f>F20-H20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0.1</v>
      </c>
      <c r="F21">
        <f>J20</f>
        <v/>
      </c>
      <c r="G21">
        <f>ROUND(F21*E21*D21/360,2)</f>
        <v/>
      </c>
      <c r="H21" t="n">
        <v>0</v>
      </c>
      <c r="I21">
        <f>G21+H21</f>
        <v/>
      </c>
      <c r="J21">
        <f>F21-H21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0.1</v>
      </c>
      <c r="F22">
        <f>J21</f>
        <v/>
      </c>
      <c r="G22">
        <f>ROUND(F22*E22*D22/360,2)</f>
        <v/>
      </c>
      <c r="H22" t="n">
        <v>0</v>
      </c>
      <c r="I22">
        <f>G22+H22</f>
        <v/>
      </c>
      <c r="J22">
        <f>F22-H22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0.1</v>
      </c>
      <c r="F23">
        <f>J22</f>
        <v/>
      </c>
      <c r="G23">
        <f>ROUND(F23*E23*D23/360,2)</f>
        <v/>
      </c>
      <c r="H23" t="n">
        <v>0</v>
      </c>
      <c r="I23">
        <f>G23+H23</f>
        <v/>
      </c>
      <c r="J23">
        <f>F23-H23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0.1</v>
      </c>
      <c r="F24">
        <f>J23</f>
        <v/>
      </c>
      <c r="G24">
        <f>ROUND(F24*E24*D24/360,2)</f>
        <v/>
      </c>
      <c r="H24">
        <f>F24</f>
        <v/>
      </c>
      <c r="I24">
        <f>G24+H24</f>
        <v/>
      </c>
      <c r="J24">
        <f>F24-H24</f>
        <v/>
      </c>
      <c r="L24" s="2">
        <f>C23</f>
        <v/>
      </c>
      <c r="M24">
        <f>-I23</f>
        <v/>
      </c>
    </row>
    <row r="25">
      <c r="L25" s="2">
        <f>C24</f>
        <v/>
      </c>
      <c r="M25">
        <f>-I24</f>
        <v/>
      </c>
    </row>
    <row r="26">
      <c r="A26" s="1" t="inlineStr">
        <is>
          <t>Total interest</t>
        </is>
      </c>
      <c r="B26">
        <f>SUM(G13:G24)</f>
        <v/>
      </c>
    </row>
    <row r="27">
      <c r="A27" s="1" t="inlineStr">
        <is>
          <t>Total payback</t>
        </is>
      </c>
      <c r="B27">
        <f>SUM(I13:I24)</f>
        <v/>
      </c>
    </row>
    <row r="28">
      <c r="A28" s="1" t="inlineStr">
        <is>
          <t>Interest share of payback</t>
        </is>
      </c>
      <c r="B28">
        <f>B26/B27</f>
        <v/>
      </c>
    </row>
    <row r="29">
      <c r="A29" s="1" t="inlineStr">
        <is>
          <t>Money received (loan - fee)</t>
        </is>
      </c>
      <c r="B29">
        <f>B3-B9</f>
        <v/>
      </c>
    </row>
    <row r="30">
      <c r="A30" s="1" t="inlineStr">
        <is>
          <t>Effective APR (XIRR)</t>
        </is>
      </c>
      <c r="B30">
        <f>XIRR(M13:M25,L13:L25)</f>
        <v/>
      </c>
    </row>
    <row r="33">
      <c r="A33" s="1" t="inlineStr">
        <is>
          <t>Expected by the page (Python reference):</t>
        </is>
      </c>
    </row>
    <row r="34">
      <c r="A34" t="inlineStr">
        <is>
          <t>totalInterest</t>
        </is>
      </c>
      <c r="B34" t="n">
        <v>1013.87</v>
      </c>
    </row>
    <row r="35">
      <c r="A35" t="inlineStr">
        <is>
          <t>totalPayback</t>
        </is>
      </c>
      <c r="B35" t="n">
        <v>11013.87</v>
      </c>
    </row>
    <row r="36">
      <c r="A36" t="inlineStr">
        <is>
          <t>effectiveApr</t>
        </is>
      </c>
      <c r="B36" t="n">
        <v>0.1179361860441613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bullet, simple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12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30/360</t>
        </is>
      </c>
    </row>
    <row r="7">
      <c r="A7" t="inlineStr">
        <is>
          <t>Repayment</t>
        </is>
      </c>
      <c r="B7" t="inlineStr">
        <is>
          <t>bullet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0.1</v>
      </c>
      <c r="F13">
        <f>$B$3</f>
        <v/>
      </c>
      <c r="G13">
        <f>ROUND($B$3*E13/12,2)</f>
        <v/>
      </c>
      <c r="H13" t="n">
        <v>0</v>
      </c>
      <c r="I13" t="n">
        <v>0</v>
      </c>
      <c r="J13">
        <f>F13+G13</f>
        <v/>
      </c>
      <c r="L13" s="2">
        <f>B5</f>
        <v/>
      </c>
      <c r="M13">
        <f>B29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0.1</v>
      </c>
      <c r="F14">
        <f>J13</f>
        <v/>
      </c>
      <c r="G14">
        <f>ROUND($B$3*E14/12,2)</f>
        <v/>
      </c>
      <c r="H14" t="n">
        <v>0</v>
      </c>
      <c r="I14" t="n">
        <v>0</v>
      </c>
      <c r="J14">
        <f>F14+G14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0.1</v>
      </c>
      <c r="F15">
        <f>J14</f>
        <v/>
      </c>
      <c r="G15">
        <f>ROUND($B$3*E15/12,2)</f>
        <v/>
      </c>
      <c r="H15" t="n">
        <v>0</v>
      </c>
      <c r="I15" t="n">
        <v>0</v>
      </c>
      <c r="J15">
        <f>F15+G15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0.1</v>
      </c>
      <c r="F16">
        <f>J15</f>
        <v/>
      </c>
      <c r="G16">
        <f>ROUND($B$3*E16/12,2)</f>
        <v/>
      </c>
      <c r="H16" t="n">
        <v>0</v>
      </c>
      <c r="I16" t="n">
        <v>0</v>
      </c>
      <c r="J16">
        <f>F16+G16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0.1</v>
      </c>
      <c r="F17">
        <f>J16</f>
        <v/>
      </c>
      <c r="G17">
        <f>ROUND($B$3*E17/12,2)</f>
        <v/>
      </c>
      <c r="H17" t="n">
        <v>0</v>
      </c>
      <c r="I17" t="n">
        <v>0</v>
      </c>
      <c r="J17">
        <f>F17+G17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0.1</v>
      </c>
      <c r="F18">
        <f>J17</f>
        <v/>
      </c>
      <c r="G18">
        <f>ROUND($B$3*E18/12,2)</f>
        <v/>
      </c>
      <c r="H18" t="n">
        <v>0</v>
      </c>
      <c r="I18" t="n">
        <v>0</v>
      </c>
      <c r="J18">
        <f>F18+G18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0.1</v>
      </c>
      <c r="F19">
        <f>J18</f>
        <v/>
      </c>
      <c r="G19">
        <f>ROUND($B$3*E19/12,2)</f>
        <v/>
      </c>
      <c r="H19" t="n">
        <v>0</v>
      </c>
      <c r="I19" t="n">
        <v>0</v>
      </c>
      <c r="J19">
        <f>F19+G19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0.1</v>
      </c>
      <c r="F20">
        <f>J19</f>
        <v/>
      </c>
      <c r="G20">
        <f>ROUND($B$3*E20/12,2)</f>
        <v/>
      </c>
      <c r="H20" t="n">
        <v>0</v>
      </c>
      <c r="I20" t="n">
        <v>0</v>
      </c>
      <c r="J20">
        <f>F20+G20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0.1</v>
      </c>
      <c r="F21">
        <f>J20</f>
        <v/>
      </c>
      <c r="G21">
        <f>ROUND($B$3*E21/12,2)</f>
        <v/>
      </c>
      <c r="H21" t="n">
        <v>0</v>
      </c>
      <c r="I21" t="n">
        <v>0</v>
      </c>
      <c r="J21">
        <f>F21+G21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0.1</v>
      </c>
      <c r="F22">
        <f>J21</f>
        <v/>
      </c>
      <c r="G22">
        <f>ROUND($B$3*E22/12,2)</f>
        <v/>
      </c>
      <c r="H22" t="n">
        <v>0</v>
      </c>
      <c r="I22" t="n">
        <v>0</v>
      </c>
      <c r="J22">
        <f>F22+G22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0.1</v>
      </c>
      <c r="F23">
        <f>J22</f>
        <v/>
      </c>
      <c r="G23">
        <f>ROUND($B$3*E23/12,2)</f>
        <v/>
      </c>
      <c r="H23" t="n">
        <v>0</v>
      </c>
      <c r="I23" t="n">
        <v>0</v>
      </c>
      <c r="J23">
        <f>F23+G23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0.1</v>
      </c>
      <c r="F24">
        <f>J23</f>
        <v/>
      </c>
      <c r="G24">
        <f>ROUND($B$3*E24/12,2)</f>
        <v/>
      </c>
      <c r="H24">
        <f>$B$3</f>
        <v/>
      </c>
      <c r="I24">
        <f>F24+G24</f>
        <v/>
      </c>
      <c r="J24" t="n">
        <v>0</v>
      </c>
      <c r="L24" s="2">
        <f>C23</f>
        <v/>
      </c>
      <c r="M24">
        <f>-I23</f>
        <v/>
      </c>
    </row>
    <row r="25">
      <c r="L25" s="2">
        <f>C24</f>
        <v/>
      </c>
      <c r="M25">
        <f>-I24</f>
        <v/>
      </c>
    </row>
    <row r="26">
      <c r="A26" s="1" t="inlineStr">
        <is>
          <t>Total interest</t>
        </is>
      </c>
      <c r="B26">
        <f>SUM(G13:G24)</f>
        <v/>
      </c>
    </row>
    <row r="27">
      <c r="A27" s="1" t="inlineStr">
        <is>
          <t>Total payback</t>
        </is>
      </c>
      <c r="B27">
        <f>SUM(I13:I24)</f>
        <v/>
      </c>
    </row>
    <row r="28">
      <c r="A28" s="1" t="inlineStr">
        <is>
          <t>Interest share of payback</t>
        </is>
      </c>
      <c r="B28">
        <f>B26/B27</f>
        <v/>
      </c>
    </row>
    <row r="29">
      <c r="A29" s="1" t="inlineStr">
        <is>
          <t>Money received (loan - fee)</t>
        </is>
      </c>
      <c r="B29">
        <f>B3-B9</f>
        <v/>
      </c>
    </row>
    <row r="30">
      <c r="A30" s="1" t="inlineStr">
        <is>
          <t>Effective APR (XIRR)</t>
        </is>
      </c>
      <c r="B30">
        <f>XIRR(M13:M25,L13:L25)</f>
        <v/>
      </c>
    </row>
    <row r="33">
      <c r="A33" s="1" t="inlineStr">
        <is>
          <t>Expected by the page (Python reference):</t>
        </is>
      </c>
    </row>
    <row r="34">
      <c r="A34" t="inlineStr">
        <is>
          <t>totalInterest</t>
        </is>
      </c>
      <c r="B34" t="n">
        <v>999.96</v>
      </c>
    </row>
    <row r="35">
      <c r="A35" t="inlineStr">
        <is>
          <t>totalPayback</t>
        </is>
      </c>
      <c r="B35" t="n">
        <v>10999.96</v>
      </c>
    </row>
    <row r="36">
      <c r="A36" t="inlineStr">
        <is>
          <t>effectiveApr</t>
        </is>
      </c>
      <c r="B36" t="n">
        <v>0.09999599999999986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bullet, monthly compounding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12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30/360</t>
        </is>
      </c>
    </row>
    <row r="7">
      <c r="A7" t="inlineStr">
        <is>
          <t>Repayment</t>
        </is>
      </c>
      <c r="B7" t="inlineStr">
        <is>
          <t>bullet</t>
        </is>
      </c>
    </row>
    <row r="8">
      <c r="A8" t="inlineStr">
        <is>
          <t>Compounding</t>
        </is>
      </c>
      <c r="B8" t="inlineStr">
        <is>
          <t>monthly</t>
        </is>
      </c>
    </row>
    <row r="9">
      <c r="A9" t="inlineStr">
        <is>
          <t>Origination fee</t>
        </is>
      </c>
      <c r="B9" t="n">
        <v>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0.1</v>
      </c>
      <c r="F13">
        <f>$B$3</f>
        <v/>
      </c>
      <c r="G13">
        <f>ROUND(F13*E13/12,2)</f>
        <v/>
      </c>
      <c r="H13" t="n">
        <v>0</v>
      </c>
      <c r="I13" t="n">
        <v>0</v>
      </c>
      <c r="J13">
        <f>F13+G13</f>
        <v/>
      </c>
      <c r="L13" s="2">
        <f>B5</f>
        <v/>
      </c>
      <c r="M13">
        <f>B29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0.1</v>
      </c>
      <c r="F14">
        <f>J13</f>
        <v/>
      </c>
      <c r="G14">
        <f>ROUND(F14*E14/12,2)</f>
        <v/>
      </c>
      <c r="H14" t="n">
        <v>0</v>
      </c>
      <c r="I14" t="n">
        <v>0</v>
      </c>
      <c r="J14">
        <f>F14+G14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0.1</v>
      </c>
      <c r="F15">
        <f>J14</f>
        <v/>
      </c>
      <c r="G15">
        <f>ROUND(F15*E15/12,2)</f>
        <v/>
      </c>
      <c r="H15" t="n">
        <v>0</v>
      </c>
      <c r="I15" t="n">
        <v>0</v>
      </c>
      <c r="J15">
        <f>F15+G15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0.1</v>
      </c>
      <c r="F16">
        <f>J15</f>
        <v/>
      </c>
      <c r="G16">
        <f>ROUND(F16*E16/12,2)</f>
        <v/>
      </c>
      <c r="H16" t="n">
        <v>0</v>
      </c>
      <c r="I16" t="n">
        <v>0</v>
      </c>
      <c r="J16">
        <f>F16+G16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0.1</v>
      </c>
      <c r="F17">
        <f>J16</f>
        <v/>
      </c>
      <c r="G17">
        <f>ROUND(F17*E17/12,2)</f>
        <v/>
      </c>
      <c r="H17" t="n">
        <v>0</v>
      </c>
      <c r="I17" t="n">
        <v>0</v>
      </c>
      <c r="J17">
        <f>F17+G17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0.1</v>
      </c>
      <c r="F18">
        <f>J17</f>
        <v/>
      </c>
      <c r="G18">
        <f>ROUND(F18*E18/12,2)</f>
        <v/>
      </c>
      <c r="H18" t="n">
        <v>0</v>
      </c>
      <c r="I18" t="n">
        <v>0</v>
      </c>
      <c r="J18">
        <f>F18+G18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0.1</v>
      </c>
      <c r="F19">
        <f>J18</f>
        <v/>
      </c>
      <c r="G19">
        <f>ROUND(F19*E19/12,2)</f>
        <v/>
      </c>
      <c r="H19" t="n">
        <v>0</v>
      </c>
      <c r="I19" t="n">
        <v>0</v>
      </c>
      <c r="J19">
        <f>F19+G19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0.1</v>
      </c>
      <c r="F20">
        <f>J19</f>
        <v/>
      </c>
      <c r="G20">
        <f>ROUND(F20*E20/12,2)</f>
        <v/>
      </c>
      <c r="H20" t="n">
        <v>0</v>
      </c>
      <c r="I20" t="n">
        <v>0</v>
      </c>
      <c r="J20">
        <f>F20+G20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0.1</v>
      </c>
      <c r="F21">
        <f>J20</f>
        <v/>
      </c>
      <c r="G21">
        <f>ROUND(F21*E21/12,2)</f>
        <v/>
      </c>
      <c r="H21" t="n">
        <v>0</v>
      </c>
      <c r="I21" t="n">
        <v>0</v>
      </c>
      <c r="J21">
        <f>F21+G21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0.1</v>
      </c>
      <c r="F22">
        <f>J21</f>
        <v/>
      </c>
      <c r="G22">
        <f>ROUND(F22*E22/12,2)</f>
        <v/>
      </c>
      <c r="H22" t="n">
        <v>0</v>
      </c>
      <c r="I22" t="n">
        <v>0</v>
      </c>
      <c r="J22">
        <f>F22+G22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0.1</v>
      </c>
      <c r="F23">
        <f>J22</f>
        <v/>
      </c>
      <c r="G23">
        <f>ROUND(F23*E23/12,2)</f>
        <v/>
      </c>
      <c r="H23" t="n">
        <v>0</v>
      </c>
      <c r="I23" t="n">
        <v>0</v>
      </c>
      <c r="J23">
        <f>F23+G23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0.1</v>
      </c>
      <c r="F24">
        <f>J23</f>
        <v/>
      </c>
      <c r="G24">
        <f>ROUND(F24*E24/12,2)</f>
        <v/>
      </c>
      <c r="H24">
        <f>$B$3</f>
        <v/>
      </c>
      <c r="I24">
        <f>F24+G24</f>
        <v/>
      </c>
      <c r="J24" t="n">
        <v>0</v>
      </c>
      <c r="L24" s="2">
        <f>C23</f>
        <v/>
      </c>
      <c r="M24">
        <f>-I23</f>
        <v/>
      </c>
    </row>
    <row r="25">
      <c r="L25" s="2">
        <f>C24</f>
        <v/>
      </c>
      <c r="M25">
        <f>-I24</f>
        <v/>
      </c>
    </row>
    <row r="26">
      <c r="A26" s="1" t="inlineStr">
        <is>
          <t>Total interest</t>
        </is>
      </c>
      <c r="B26">
        <f>SUM(G13:G24)</f>
        <v/>
      </c>
    </row>
    <row r="27">
      <c r="A27" s="1" t="inlineStr">
        <is>
          <t>Total payback</t>
        </is>
      </c>
      <c r="B27">
        <f>SUM(I13:I24)</f>
        <v/>
      </c>
    </row>
    <row r="28">
      <c r="A28" s="1" t="inlineStr">
        <is>
          <t>Interest share of payback</t>
        </is>
      </c>
      <c r="B28">
        <f>B26/B27</f>
        <v/>
      </c>
    </row>
    <row r="29">
      <c r="A29" s="1" t="inlineStr">
        <is>
          <t>Money received (loan - fee)</t>
        </is>
      </c>
      <c r="B29">
        <f>B3-B9</f>
        <v/>
      </c>
    </row>
    <row r="30">
      <c r="A30" s="1" t="inlineStr">
        <is>
          <t>Effective APR (XIRR)</t>
        </is>
      </c>
      <c r="B30">
        <f>XIRR(M13:M25,L13:L25)</f>
        <v/>
      </c>
    </row>
    <row r="31">
      <c r="A31" t="inlineStr">
        <is>
          <t>Check: FV formula (no rounding)</t>
        </is>
      </c>
      <c r="B31">
        <f>FV(E13/12,B4,0,-B3)-B3</f>
        <v/>
      </c>
    </row>
    <row r="33">
      <c r="A33" s="1" t="inlineStr">
        <is>
          <t>Expected by the page (Python reference):</t>
        </is>
      </c>
    </row>
    <row r="34">
      <c r="A34" t="inlineStr">
        <is>
          <t>totalInterest</t>
        </is>
      </c>
      <c r="B34" t="n">
        <v>1047.13</v>
      </c>
    </row>
    <row r="35">
      <c r="A35" t="inlineStr">
        <is>
          <t>totalPayback</t>
        </is>
      </c>
      <c r="B35" t="n">
        <v>11047.13</v>
      </c>
    </row>
    <row r="36">
      <c r="A36" t="inlineStr">
        <is>
          <t>effectiveApr</t>
        </is>
      </c>
      <c r="B36" t="n">
        <v>0.1047129999999997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bullet, compounding, 24 months, act/365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24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act/365</t>
        </is>
      </c>
    </row>
    <row r="7">
      <c r="A7" t="inlineStr">
        <is>
          <t>Repayment</t>
        </is>
      </c>
      <c r="B7" t="inlineStr">
        <is>
          <t>bullet</t>
        </is>
      </c>
    </row>
    <row r="8">
      <c r="A8" t="inlineStr">
        <is>
          <t>Compounding</t>
        </is>
      </c>
      <c r="B8" t="inlineStr">
        <is>
          <t>monthly</t>
        </is>
      </c>
    </row>
    <row r="9">
      <c r="A9" t="inlineStr">
        <is>
          <t>Origination fee</t>
        </is>
      </c>
      <c r="B9" t="n">
        <v>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0.1</v>
      </c>
      <c r="F13">
        <f>$B$3</f>
        <v/>
      </c>
      <c r="G13">
        <f>ROUND(F13*E13*D13/365,2)</f>
        <v/>
      </c>
      <c r="H13" t="n">
        <v>0</v>
      </c>
      <c r="I13" t="n">
        <v>0</v>
      </c>
      <c r="J13">
        <f>F13+G13</f>
        <v/>
      </c>
      <c r="L13" s="2">
        <f>B5</f>
        <v/>
      </c>
      <c r="M13">
        <f>B41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0.1</v>
      </c>
      <c r="F14">
        <f>J13</f>
        <v/>
      </c>
      <c r="G14">
        <f>ROUND(F14*E14*D14/365,2)</f>
        <v/>
      </c>
      <c r="H14" t="n">
        <v>0</v>
      </c>
      <c r="I14" t="n">
        <v>0</v>
      </c>
      <c r="J14">
        <f>F14+G14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0.1</v>
      </c>
      <c r="F15">
        <f>J14</f>
        <v/>
      </c>
      <c r="G15">
        <f>ROUND(F15*E15*D15/365,2)</f>
        <v/>
      </c>
      <c r="H15" t="n">
        <v>0</v>
      </c>
      <c r="I15" t="n">
        <v>0</v>
      </c>
      <c r="J15">
        <f>F15+G15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0.1</v>
      </c>
      <c r="F16">
        <f>J15</f>
        <v/>
      </c>
      <c r="G16">
        <f>ROUND(F16*E16*D16/365,2)</f>
        <v/>
      </c>
      <c r="H16" t="n">
        <v>0</v>
      </c>
      <c r="I16" t="n">
        <v>0</v>
      </c>
      <c r="J16">
        <f>F16+G16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0.1</v>
      </c>
      <c r="F17">
        <f>J16</f>
        <v/>
      </c>
      <c r="G17">
        <f>ROUND(F17*E17*D17/365,2)</f>
        <v/>
      </c>
      <c r="H17" t="n">
        <v>0</v>
      </c>
      <c r="I17" t="n">
        <v>0</v>
      </c>
      <c r="J17">
        <f>F17+G17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0.1</v>
      </c>
      <c r="F18">
        <f>J17</f>
        <v/>
      </c>
      <c r="G18">
        <f>ROUND(F18*E18*D18/365,2)</f>
        <v/>
      </c>
      <c r="H18" t="n">
        <v>0</v>
      </c>
      <c r="I18" t="n">
        <v>0</v>
      </c>
      <c r="J18">
        <f>F18+G18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0.1</v>
      </c>
      <c r="F19">
        <f>J18</f>
        <v/>
      </c>
      <c r="G19">
        <f>ROUND(F19*E19*D19/365,2)</f>
        <v/>
      </c>
      <c r="H19" t="n">
        <v>0</v>
      </c>
      <c r="I19" t="n">
        <v>0</v>
      </c>
      <c r="J19">
        <f>F19+G19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0.1</v>
      </c>
      <c r="F20">
        <f>J19</f>
        <v/>
      </c>
      <c r="G20">
        <f>ROUND(F20*E20*D20/365,2)</f>
        <v/>
      </c>
      <c r="H20" t="n">
        <v>0</v>
      </c>
      <c r="I20" t="n">
        <v>0</v>
      </c>
      <c r="J20">
        <f>F20+G20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0.1</v>
      </c>
      <c r="F21">
        <f>J20</f>
        <v/>
      </c>
      <c r="G21">
        <f>ROUND(F21*E21*D21/365,2)</f>
        <v/>
      </c>
      <c r="H21" t="n">
        <v>0</v>
      </c>
      <c r="I21" t="n">
        <v>0</v>
      </c>
      <c r="J21">
        <f>F21+G21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0.1</v>
      </c>
      <c r="F22">
        <f>J21</f>
        <v/>
      </c>
      <c r="G22">
        <f>ROUND(F22*E22*D22/365,2)</f>
        <v/>
      </c>
      <c r="H22" t="n">
        <v>0</v>
      </c>
      <c r="I22" t="n">
        <v>0</v>
      </c>
      <c r="J22">
        <f>F22+G22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0.1</v>
      </c>
      <c r="F23">
        <f>J22</f>
        <v/>
      </c>
      <c r="G23">
        <f>ROUND(F23*E23*D23/365,2)</f>
        <v/>
      </c>
      <c r="H23" t="n">
        <v>0</v>
      </c>
      <c r="I23" t="n">
        <v>0</v>
      </c>
      <c r="J23">
        <f>F23+G23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0.1</v>
      </c>
      <c r="F24">
        <f>J23</f>
        <v/>
      </c>
      <c r="G24">
        <f>ROUND(F24*E24*D24/365,2)</f>
        <v/>
      </c>
      <c r="H24" t="n">
        <v>0</v>
      </c>
      <c r="I24" t="n">
        <v>0</v>
      </c>
      <c r="J24">
        <f>F24+G24</f>
        <v/>
      </c>
      <c r="L24" s="2">
        <f>C23</f>
        <v/>
      </c>
      <c r="M24">
        <f>-I23</f>
        <v/>
      </c>
    </row>
    <row r="25">
      <c r="A25" t="n">
        <v>13</v>
      </c>
      <c r="B25" s="2">
        <f>EDATE($B$5,12)</f>
        <v/>
      </c>
      <c r="C25" s="2">
        <f>EDATE($B$5,13)</f>
        <v/>
      </c>
      <c r="D25">
        <f>C25-B25</f>
        <v/>
      </c>
      <c r="E25" t="n">
        <v>0.1</v>
      </c>
      <c r="F25">
        <f>J24</f>
        <v/>
      </c>
      <c r="G25">
        <f>ROUND(F25*E25*D25/365,2)</f>
        <v/>
      </c>
      <c r="H25" t="n">
        <v>0</v>
      </c>
      <c r="I25" t="n">
        <v>0</v>
      </c>
      <c r="J25">
        <f>F25+G25</f>
        <v/>
      </c>
      <c r="L25" s="2">
        <f>C24</f>
        <v/>
      </c>
      <c r="M25">
        <f>-I24</f>
        <v/>
      </c>
    </row>
    <row r="26">
      <c r="A26" t="n">
        <v>14</v>
      </c>
      <c r="B26" s="2">
        <f>EDATE($B$5,13)</f>
        <v/>
      </c>
      <c r="C26" s="2">
        <f>EDATE($B$5,14)</f>
        <v/>
      </c>
      <c r="D26">
        <f>C26-B26</f>
        <v/>
      </c>
      <c r="E26" t="n">
        <v>0.1</v>
      </c>
      <c r="F26">
        <f>J25</f>
        <v/>
      </c>
      <c r="G26">
        <f>ROUND(F26*E26*D26/365,2)</f>
        <v/>
      </c>
      <c r="H26" t="n">
        <v>0</v>
      </c>
      <c r="I26" t="n">
        <v>0</v>
      </c>
      <c r="J26">
        <f>F26+G26</f>
        <v/>
      </c>
      <c r="L26" s="2">
        <f>C25</f>
        <v/>
      </c>
      <c r="M26">
        <f>-I25</f>
        <v/>
      </c>
    </row>
    <row r="27">
      <c r="A27" t="n">
        <v>15</v>
      </c>
      <c r="B27" s="2">
        <f>EDATE($B$5,14)</f>
        <v/>
      </c>
      <c r="C27" s="2">
        <f>EDATE($B$5,15)</f>
        <v/>
      </c>
      <c r="D27">
        <f>C27-B27</f>
        <v/>
      </c>
      <c r="E27" t="n">
        <v>0.1</v>
      </c>
      <c r="F27">
        <f>J26</f>
        <v/>
      </c>
      <c r="G27">
        <f>ROUND(F27*E27*D27/365,2)</f>
        <v/>
      </c>
      <c r="H27" t="n">
        <v>0</v>
      </c>
      <c r="I27" t="n">
        <v>0</v>
      </c>
      <c r="J27">
        <f>F27+G27</f>
        <v/>
      </c>
      <c r="L27" s="2">
        <f>C26</f>
        <v/>
      </c>
      <c r="M27">
        <f>-I26</f>
        <v/>
      </c>
    </row>
    <row r="28">
      <c r="A28" t="n">
        <v>16</v>
      </c>
      <c r="B28" s="2">
        <f>EDATE($B$5,15)</f>
        <v/>
      </c>
      <c r="C28" s="2">
        <f>EDATE($B$5,16)</f>
        <v/>
      </c>
      <c r="D28">
        <f>C28-B28</f>
        <v/>
      </c>
      <c r="E28" t="n">
        <v>0.1</v>
      </c>
      <c r="F28">
        <f>J27</f>
        <v/>
      </c>
      <c r="G28">
        <f>ROUND(F28*E28*D28/365,2)</f>
        <v/>
      </c>
      <c r="H28" t="n">
        <v>0</v>
      </c>
      <c r="I28" t="n">
        <v>0</v>
      </c>
      <c r="J28">
        <f>F28+G28</f>
        <v/>
      </c>
      <c r="L28" s="2">
        <f>C27</f>
        <v/>
      </c>
      <c r="M28">
        <f>-I27</f>
        <v/>
      </c>
    </row>
    <row r="29">
      <c r="A29" t="n">
        <v>17</v>
      </c>
      <c r="B29" s="2">
        <f>EDATE($B$5,16)</f>
        <v/>
      </c>
      <c r="C29" s="2">
        <f>EDATE($B$5,17)</f>
        <v/>
      </c>
      <c r="D29">
        <f>C29-B29</f>
        <v/>
      </c>
      <c r="E29" t="n">
        <v>0.1</v>
      </c>
      <c r="F29">
        <f>J28</f>
        <v/>
      </c>
      <c r="G29">
        <f>ROUND(F29*E29*D29/365,2)</f>
        <v/>
      </c>
      <c r="H29" t="n">
        <v>0</v>
      </c>
      <c r="I29" t="n">
        <v>0</v>
      </c>
      <c r="J29">
        <f>F29+G29</f>
        <v/>
      </c>
      <c r="L29" s="2">
        <f>C28</f>
        <v/>
      </c>
      <c r="M29">
        <f>-I28</f>
        <v/>
      </c>
    </row>
    <row r="30">
      <c r="A30" t="n">
        <v>18</v>
      </c>
      <c r="B30" s="2">
        <f>EDATE($B$5,17)</f>
        <v/>
      </c>
      <c r="C30" s="2">
        <f>EDATE($B$5,18)</f>
        <v/>
      </c>
      <c r="D30">
        <f>C30-B30</f>
        <v/>
      </c>
      <c r="E30" t="n">
        <v>0.1</v>
      </c>
      <c r="F30">
        <f>J29</f>
        <v/>
      </c>
      <c r="G30">
        <f>ROUND(F30*E30*D30/365,2)</f>
        <v/>
      </c>
      <c r="H30" t="n">
        <v>0</v>
      </c>
      <c r="I30" t="n">
        <v>0</v>
      </c>
      <c r="J30">
        <f>F30+G30</f>
        <v/>
      </c>
      <c r="L30" s="2">
        <f>C29</f>
        <v/>
      </c>
      <c r="M30">
        <f>-I29</f>
        <v/>
      </c>
    </row>
    <row r="31">
      <c r="A31" t="n">
        <v>19</v>
      </c>
      <c r="B31" s="2">
        <f>EDATE($B$5,18)</f>
        <v/>
      </c>
      <c r="C31" s="2">
        <f>EDATE($B$5,19)</f>
        <v/>
      </c>
      <c r="D31">
        <f>C31-B31</f>
        <v/>
      </c>
      <c r="E31" t="n">
        <v>0.1</v>
      </c>
      <c r="F31">
        <f>J30</f>
        <v/>
      </c>
      <c r="G31">
        <f>ROUND(F31*E31*D31/365,2)</f>
        <v/>
      </c>
      <c r="H31" t="n">
        <v>0</v>
      </c>
      <c r="I31" t="n">
        <v>0</v>
      </c>
      <c r="J31">
        <f>F31+G31</f>
        <v/>
      </c>
      <c r="L31" s="2">
        <f>C30</f>
        <v/>
      </c>
      <c r="M31">
        <f>-I30</f>
        <v/>
      </c>
    </row>
    <row r="32">
      <c r="A32" t="n">
        <v>20</v>
      </c>
      <c r="B32" s="2">
        <f>EDATE($B$5,19)</f>
        <v/>
      </c>
      <c r="C32" s="2">
        <f>EDATE($B$5,20)</f>
        <v/>
      </c>
      <c r="D32">
        <f>C32-B32</f>
        <v/>
      </c>
      <c r="E32" t="n">
        <v>0.1</v>
      </c>
      <c r="F32">
        <f>J31</f>
        <v/>
      </c>
      <c r="G32">
        <f>ROUND(F32*E32*D32/365,2)</f>
        <v/>
      </c>
      <c r="H32" t="n">
        <v>0</v>
      </c>
      <c r="I32" t="n">
        <v>0</v>
      </c>
      <c r="J32">
        <f>F32+G32</f>
        <v/>
      </c>
      <c r="L32" s="2">
        <f>C31</f>
        <v/>
      </c>
      <c r="M32">
        <f>-I31</f>
        <v/>
      </c>
    </row>
    <row r="33">
      <c r="A33" t="n">
        <v>21</v>
      </c>
      <c r="B33" s="2">
        <f>EDATE($B$5,20)</f>
        <v/>
      </c>
      <c r="C33" s="2">
        <f>EDATE($B$5,21)</f>
        <v/>
      </c>
      <c r="D33">
        <f>C33-B33</f>
        <v/>
      </c>
      <c r="E33" t="n">
        <v>0.1</v>
      </c>
      <c r="F33">
        <f>J32</f>
        <v/>
      </c>
      <c r="G33">
        <f>ROUND(F33*E33*D33/365,2)</f>
        <v/>
      </c>
      <c r="H33" t="n">
        <v>0</v>
      </c>
      <c r="I33" t="n">
        <v>0</v>
      </c>
      <c r="J33">
        <f>F33+G33</f>
        <v/>
      </c>
      <c r="L33" s="2">
        <f>C32</f>
        <v/>
      </c>
      <c r="M33">
        <f>-I32</f>
        <v/>
      </c>
    </row>
    <row r="34">
      <c r="A34" t="n">
        <v>22</v>
      </c>
      <c r="B34" s="2">
        <f>EDATE($B$5,21)</f>
        <v/>
      </c>
      <c r="C34" s="2">
        <f>EDATE($B$5,22)</f>
        <v/>
      </c>
      <c r="D34">
        <f>C34-B34</f>
        <v/>
      </c>
      <c r="E34" t="n">
        <v>0.1</v>
      </c>
      <c r="F34">
        <f>J33</f>
        <v/>
      </c>
      <c r="G34">
        <f>ROUND(F34*E34*D34/365,2)</f>
        <v/>
      </c>
      <c r="H34" t="n">
        <v>0</v>
      </c>
      <c r="I34" t="n">
        <v>0</v>
      </c>
      <c r="J34">
        <f>F34+G34</f>
        <v/>
      </c>
      <c r="L34" s="2">
        <f>C33</f>
        <v/>
      </c>
      <c r="M34">
        <f>-I33</f>
        <v/>
      </c>
    </row>
    <row r="35">
      <c r="A35" t="n">
        <v>23</v>
      </c>
      <c r="B35" s="2">
        <f>EDATE($B$5,22)</f>
        <v/>
      </c>
      <c r="C35" s="2">
        <f>EDATE($B$5,23)</f>
        <v/>
      </c>
      <c r="D35">
        <f>C35-B35</f>
        <v/>
      </c>
      <c r="E35" t="n">
        <v>0.1</v>
      </c>
      <c r="F35">
        <f>J34</f>
        <v/>
      </c>
      <c r="G35">
        <f>ROUND(F35*E35*D35/365,2)</f>
        <v/>
      </c>
      <c r="H35" t="n">
        <v>0</v>
      </c>
      <c r="I35" t="n">
        <v>0</v>
      </c>
      <c r="J35">
        <f>F35+G35</f>
        <v/>
      </c>
      <c r="L35" s="2">
        <f>C34</f>
        <v/>
      </c>
      <c r="M35">
        <f>-I34</f>
        <v/>
      </c>
    </row>
    <row r="36">
      <c r="A36" t="n">
        <v>24</v>
      </c>
      <c r="B36" s="2">
        <f>EDATE($B$5,23)</f>
        <v/>
      </c>
      <c r="C36" s="2">
        <f>EDATE($B$5,24)</f>
        <v/>
      </c>
      <c r="D36">
        <f>C36-B36</f>
        <v/>
      </c>
      <c r="E36" t="n">
        <v>0.1</v>
      </c>
      <c r="F36">
        <f>J35</f>
        <v/>
      </c>
      <c r="G36">
        <f>ROUND(F36*E36*D36/365,2)</f>
        <v/>
      </c>
      <c r="H36">
        <f>$B$3</f>
        <v/>
      </c>
      <c r="I36">
        <f>F36+G36</f>
        <v/>
      </c>
      <c r="J36" t="n">
        <v>0</v>
      </c>
      <c r="L36" s="2">
        <f>C35</f>
        <v/>
      </c>
      <c r="M36">
        <f>-I35</f>
        <v/>
      </c>
    </row>
    <row r="37">
      <c r="L37" s="2">
        <f>C36</f>
        <v/>
      </c>
      <c r="M37">
        <f>-I36</f>
        <v/>
      </c>
    </row>
    <row r="38">
      <c r="A38" s="1" t="inlineStr">
        <is>
          <t>Total interest</t>
        </is>
      </c>
      <c r="B38">
        <f>SUM(G13:G36)</f>
        <v/>
      </c>
    </row>
    <row r="39">
      <c r="A39" s="1" t="inlineStr">
        <is>
          <t>Total payback</t>
        </is>
      </c>
      <c r="B39">
        <f>SUM(I13:I36)</f>
        <v/>
      </c>
    </row>
    <row r="40">
      <c r="A40" s="1" t="inlineStr">
        <is>
          <t>Interest share of payback</t>
        </is>
      </c>
      <c r="B40">
        <f>B38/B39</f>
        <v/>
      </c>
    </row>
    <row r="41">
      <c r="A41" s="1" t="inlineStr">
        <is>
          <t>Money received (loan - fee)</t>
        </is>
      </c>
      <c r="B41">
        <f>B3-B9</f>
        <v/>
      </c>
    </row>
    <row r="42">
      <c r="A42" s="1" t="inlineStr">
        <is>
          <t>Effective APR (XIRR)</t>
        </is>
      </c>
      <c r="B42">
        <f>XIRR(M13:M37,L13:L37)</f>
        <v/>
      </c>
    </row>
    <row r="45">
      <c r="A45" s="1" t="inlineStr">
        <is>
          <t>Expected by the page (Python reference):</t>
        </is>
      </c>
    </row>
    <row r="46">
      <c r="A46" t="inlineStr">
        <is>
          <t>totalInterest</t>
        </is>
      </c>
      <c r="B46" t="n">
        <v>2203.9</v>
      </c>
    </row>
    <row r="47">
      <c r="A47" t="inlineStr">
        <is>
          <t>totalPayback</t>
        </is>
      </c>
      <c r="B47" t="n">
        <v>12203.9</v>
      </c>
    </row>
    <row r="48">
      <c r="A48" t="inlineStr">
        <is>
          <t>effectiveApr</t>
        </is>
      </c>
      <c r="B48" t="n">
        <v>0.1047126323166582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amortizing, 12 months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12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30/360</t>
        </is>
      </c>
    </row>
    <row r="7">
      <c r="A7" t="inlineStr">
        <is>
          <t>Repayment</t>
        </is>
      </c>
      <c r="B7" t="inlineStr">
        <is>
          <t>amortizing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0.1</v>
      </c>
      <c r="F13">
        <f>$B$3</f>
        <v/>
      </c>
      <c r="G13">
        <f>ROUND(F13*E13/12,2)</f>
        <v/>
      </c>
      <c r="H13">
        <f>I13-G13</f>
        <v/>
      </c>
      <c r="I13">
        <f>ROUND(PMT(E13/12,12,-F13),2)</f>
        <v/>
      </c>
      <c r="J13">
        <f>F13-H13</f>
        <v/>
      </c>
      <c r="L13" s="2">
        <f>B5</f>
        <v/>
      </c>
      <c r="M13">
        <f>B29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0.1</v>
      </c>
      <c r="F14">
        <f>J13</f>
        <v/>
      </c>
      <c r="G14">
        <f>ROUND(F14*E14/12,2)</f>
        <v/>
      </c>
      <c r="H14">
        <f>I14-G14</f>
        <v/>
      </c>
      <c r="I14">
        <f>I13</f>
        <v/>
      </c>
      <c r="J14">
        <f>F14-H14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0.1</v>
      </c>
      <c r="F15">
        <f>J14</f>
        <v/>
      </c>
      <c r="G15">
        <f>ROUND(F15*E15/12,2)</f>
        <v/>
      </c>
      <c r="H15">
        <f>I15-G15</f>
        <v/>
      </c>
      <c r="I15">
        <f>I14</f>
        <v/>
      </c>
      <c r="J15">
        <f>F15-H15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0.1</v>
      </c>
      <c r="F16">
        <f>J15</f>
        <v/>
      </c>
      <c r="G16">
        <f>ROUND(F16*E16/12,2)</f>
        <v/>
      </c>
      <c r="H16">
        <f>I16-G16</f>
        <v/>
      </c>
      <c r="I16">
        <f>I15</f>
        <v/>
      </c>
      <c r="J16">
        <f>F16-H16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0.1</v>
      </c>
      <c r="F17">
        <f>J16</f>
        <v/>
      </c>
      <c r="G17">
        <f>ROUND(F17*E17/12,2)</f>
        <v/>
      </c>
      <c r="H17">
        <f>I17-G17</f>
        <v/>
      </c>
      <c r="I17">
        <f>I16</f>
        <v/>
      </c>
      <c r="J17">
        <f>F17-H17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0.1</v>
      </c>
      <c r="F18">
        <f>J17</f>
        <v/>
      </c>
      <c r="G18">
        <f>ROUND(F18*E18/12,2)</f>
        <v/>
      </c>
      <c r="H18">
        <f>I18-G18</f>
        <v/>
      </c>
      <c r="I18">
        <f>I17</f>
        <v/>
      </c>
      <c r="J18">
        <f>F18-H18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0.1</v>
      </c>
      <c r="F19">
        <f>J18</f>
        <v/>
      </c>
      <c r="G19">
        <f>ROUND(F19*E19/12,2)</f>
        <v/>
      </c>
      <c r="H19">
        <f>I19-G19</f>
        <v/>
      </c>
      <c r="I19">
        <f>I18</f>
        <v/>
      </c>
      <c r="J19">
        <f>F19-H19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0.1</v>
      </c>
      <c r="F20">
        <f>J19</f>
        <v/>
      </c>
      <c r="G20">
        <f>ROUND(F20*E20/12,2)</f>
        <v/>
      </c>
      <c r="H20">
        <f>I20-G20</f>
        <v/>
      </c>
      <c r="I20">
        <f>I19</f>
        <v/>
      </c>
      <c r="J20">
        <f>F20-H20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0.1</v>
      </c>
      <c r="F21">
        <f>J20</f>
        <v/>
      </c>
      <c r="G21">
        <f>ROUND(F21*E21/12,2)</f>
        <v/>
      </c>
      <c r="H21">
        <f>I21-G21</f>
        <v/>
      </c>
      <c r="I21">
        <f>I20</f>
        <v/>
      </c>
      <c r="J21">
        <f>F21-H21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0.1</v>
      </c>
      <c r="F22">
        <f>J21</f>
        <v/>
      </c>
      <c r="G22">
        <f>ROUND(F22*E22/12,2)</f>
        <v/>
      </c>
      <c r="H22">
        <f>I22-G22</f>
        <v/>
      </c>
      <c r="I22">
        <f>I21</f>
        <v/>
      </c>
      <c r="J22">
        <f>F22-H22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0.1</v>
      </c>
      <c r="F23">
        <f>J22</f>
        <v/>
      </c>
      <c r="G23">
        <f>ROUND(F23*E23/12,2)</f>
        <v/>
      </c>
      <c r="H23">
        <f>I23-G23</f>
        <v/>
      </c>
      <c r="I23">
        <f>I22</f>
        <v/>
      </c>
      <c r="J23">
        <f>F23-H23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0.1</v>
      </c>
      <c r="F24">
        <f>J23</f>
        <v/>
      </c>
      <c r="G24">
        <f>ROUND(F24*E24/12,2)</f>
        <v/>
      </c>
      <c r="H24">
        <f>I24-G24</f>
        <v/>
      </c>
      <c r="I24">
        <f>F24+G24</f>
        <v/>
      </c>
      <c r="J24">
        <f>F24-H24</f>
        <v/>
      </c>
      <c r="L24" s="2">
        <f>C23</f>
        <v/>
      </c>
      <c r="M24">
        <f>-I23</f>
        <v/>
      </c>
    </row>
    <row r="25">
      <c r="L25" s="2">
        <f>C24</f>
        <v/>
      </c>
      <c r="M25">
        <f>-I24</f>
        <v/>
      </c>
    </row>
    <row r="26">
      <c r="A26" s="1" t="inlineStr">
        <is>
          <t>Total interest</t>
        </is>
      </c>
      <c r="B26">
        <f>SUM(G13:G24)</f>
        <v/>
      </c>
    </row>
    <row r="27">
      <c r="A27" s="1" t="inlineStr">
        <is>
          <t>Total payback</t>
        </is>
      </c>
      <c r="B27">
        <f>SUM(I13:I24)</f>
        <v/>
      </c>
    </row>
    <row r="28">
      <c r="A28" s="1" t="inlineStr">
        <is>
          <t>Interest share of payback</t>
        </is>
      </c>
      <c r="B28">
        <f>B26/B27</f>
        <v/>
      </c>
    </row>
    <row r="29">
      <c r="A29" s="1" t="inlineStr">
        <is>
          <t>Money received (loan - fee)</t>
        </is>
      </c>
      <c r="B29">
        <f>B3-B9</f>
        <v/>
      </c>
    </row>
    <row r="30">
      <c r="A30" s="1" t="inlineStr">
        <is>
          <t>Effective APR (XIRR)</t>
        </is>
      </c>
      <c r="B30">
        <f>XIRR(M13:M25,L13:L25)</f>
        <v/>
      </c>
    </row>
    <row r="31">
      <c r="A31" t="inlineStr">
        <is>
          <t>Check: IPMT month 1</t>
        </is>
      </c>
      <c r="B31">
        <f>IPMT(E13/12,1,B4,-B3)</f>
        <v/>
      </c>
    </row>
    <row r="33">
      <c r="A33" s="1" t="inlineStr">
        <is>
          <t>Expected by the page (Python reference):</t>
        </is>
      </c>
    </row>
    <row r="34">
      <c r="A34" t="inlineStr">
        <is>
          <t>totalInterest</t>
        </is>
      </c>
      <c r="B34" t="n">
        <v>549.89</v>
      </c>
    </row>
    <row r="35">
      <c r="A35" t="inlineStr">
        <is>
          <t>totalPayback</t>
        </is>
      </c>
      <c r="B35" t="n">
        <v>10549.89</v>
      </c>
    </row>
    <row r="36">
      <c r="A36" t="inlineStr">
        <is>
          <t>effectiveApr</t>
        </is>
      </c>
      <c r="B36" t="n">
        <v>0.1051632297229584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amortizing, 36 months, 250 fixed fee</t>
        </is>
      </c>
    </row>
    <row r="3">
      <c r="A3" t="inlineStr">
        <is>
          <t>Loan amount</t>
        </is>
      </c>
      <c r="B3" t="n">
        <v>25000</v>
      </c>
    </row>
    <row r="4">
      <c r="A4" t="inlineStr">
        <is>
          <t>Months</t>
        </is>
      </c>
      <c r="B4" t="n">
        <v>36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30/360</t>
        </is>
      </c>
    </row>
    <row r="7">
      <c r="A7" t="inlineStr">
        <is>
          <t>Repayment</t>
        </is>
      </c>
      <c r="B7" t="inlineStr">
        <is>
          <t>amortizing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250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0.0725</v>
      </c>
      <c r="F13">
        <f>$B$3</f>
        <v/>
      </c>
      <c r="G13">
        <f>ROUND(F13*E13/12,2)</f>
        <v/>
      </c>
      <c r="H13">
        <f>I13-G13</f>
        <v/>
      </c>
      <c r="I13">
        <f>ROUND(PMT(E13/12,36,-F13),2)</f>
        <v/>
      </c>
      <c r="J13">
        <f>F13-H13</f>
        <v/>
      </c>
      <c r="L13" s="2">
        <f>B5</f>
        <v/>
      </c>
      <c r="M13">
        <f>B53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0.0725</v>
      </c>
      <c r="F14">
        <f>J13</f>
        <v/>
      </c>
      <c r="G14">
        <f>ROUND(F14*E14/12,2)</f>
        <v/>
      </c>
      <c r="H14">
        <f>I14-G14</f>
        <v/>
      </c>
      <c r="I14">
        <f>I13</f>
        <v/>
      </c>
      <c r="J14">
        <f>F14-H14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0.0725</v>
      </c>
      <c r="F15">
        <f>J14</f>
        <v/>
      </c>
      <c r="G15">
        <f>ROUND(F15*E15/12,2)</f>
        <v/>
      </c>
      <c r="H15">
        <f>I15-G15</f>
        <v/>
      </c>
      <c r="I15">
        <f>I14</f>
        <v/>
      </c>
      <c r="J15">
        <f>F15-H15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0.0725</v>
      </c>
      <c r="F16">
        <f>J15</f>
        <v/>
      </c>
      <c r="G16">
        <f>ROUND(F16*E16/12,2)</f>
        <v/>
      </c>
      <c r="H16">
        <f>I16-G16</f>
        <v/>
      </c>
      <c r="I16">
        <f>I15</f>
        <v/>
      </c>
      <c r="J16">
        <f>F16-H16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0.0725</v>
      </c>
      <c r="F17">
        <f>J16</f>
        <v/>
      </c>
      <c r="G17">
        <f>ROUND(F17*E17/12,2)</f>
        <v/>
      </c>
      <c r="H17">
        <f>I17-G17</f>
        <v/>
      </c>
      <c r="I17">
        <f>I16</f>
        <v/>
      </c>
      <c r="J17">
        <f>F17-H17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0.0725</v>
      </c>
      <c r="F18">
        <f>J17</f>
        <v/>
      </c>
      <c r="G18">
        <f>ROUND(F18*E18/12,2)</f>
        <v/>
      </c>
      <c r="H18">
        <f>I18-G18</f>
        <v/>
      </c>
      <c r="I18">
        <f>I17</f>
        <v/>
      </c>
      <c r="J18">
        <f>F18-H18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0.0725</v>
      </c>
      <c r="F19">
        <f>J18</f>
        <v/>
      </c>
      <c r="G19">
        <f>ROUND(F19*E19/12,2)</f>
        <v/>
      </c>
      <c r="H19">
        <f>I19-G19</f>
        <v/>
      </c>
      <c r="I19">
        <f>I18</f>
        <v/>
      </c>
      <c r="J19">
        <f>F19-H19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0.0725</v>
      </c>
      <c r="F20">
        <f>J19</f>
        <v/>
      </c>
      <c r="G20">
        <f>ROUND(F20*E20/12,2)</f>
        <v/>
      </c>
      <c r="H20">
        <f>I20-G20</f>
        <v/>
      </c>
      <c r="I20">
        <f>I19</f>
        <v/>
      </c>
      <c r="J20">
        <f>F20-H20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0.0725</v>
      </c>
      <c r="F21">
        <f>J20</f>
        <v/>
      </c>
      <c r="G21">
        <f>ROUND(F21*E21/12,2)</f>
        <v/>
      </c>
      <c r="H21">
        <f>I21-G21</f>
        <v/>
      </c>
      <c r="I21">
        <f>I20</f>
        <v/>
      </c>
      <c r="J21">
        <f>F21-H21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0.0725</v>
      </c>
      <c r="F22">
        <f>J21</f>
        <v/>
      </c>
      <c r="G22">
        <f>ROUND(F22*E22/12,2)</f>
        <v/>
      </c>
      <c r="H22">
        <f>I22-G22</f>
        <v/>
      </c>
      <c r="I22">
        <f>I21</f>
        <v/>
      </c>
      <c r="J22">
        <f>F22-H22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0.0725</v>
      </c>
      <c r="F23">
        <f>J22</f>
        <v/>
      </c>
      <c r="G23">
        <f>ROUND(F23*E23/12,2)</f>
        <v/>
      </c>
      <c r="H23">
        <f>I23-G23</f>
        <v/>
      </c>
      <c r="I23">
        <f>I22</f>
        <v/>
      </c>
      <c r="J23">
        <f>F23-H23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0.0725</v>
      </c>
      <c r="F24">
        <f>J23</f>
        <v/>
      </c>
      <c r="G24">
        <f>ROUND(F24*E24/12,2)</f>
        <v/>
      </c>
      <c r="H24">
        <f>I24-G24</f>
        <v/>
      </c>
      <c r="I24">
        <f>I23</f>
        <v/>
      </c>
      <c r="J24">
        <f>F24-H24</f>
        <v/>
      </c>
      <c r="L24" s="2">
        <f>C23</f>
        <v/>
      </c>
      <c r="M24">
        <f>-I23</f>
        <v/>
      </c>
    </row>
    <row r="25">
      <c r="A25" t="n">
        <v>13</v>
      </c>
      <c r="B25" s="2">
        <f>EDATE($B$5,12)</f>
        <v/>
      </c>
      <c r="C25" s="2">
        <f>EDATE($B$5,13)</f>
        <v/>
      </c>
      <c r="D25">
        <f>C25-B25</f>
        <v/>
      </c>
      <c r="E25" t="n">
        <v>0.0725</v>
      </c>
      <c r="F25">
        <f>J24</f>
        <v/>
      </c>
      <c r="G25">
        <f>ROUND(F25*E25/12,2)</f>
        <v/>
      </c>
      <c r="H25">
        <f>I25-G25</f>
        <v/>
      </c>
      <c r="I25">
        <f>I24</f>
        <v/>
      </c>
      <c r="J25">
        <f>F25-H25</f>
        <v/>
      </c>
      <c r="L25" s="2">
        <f>C24</f>
        <v/>
      </c>
      <c r="M25">
        <f>-I24</f>
        <v/>
      </c>
    </row>
    <row r="26">
      <c r="A26" t="n">
        <v>14</v>
      </c>
      <c r="B26" s="2">
        <f>EDATE($B$5,13)</f>
        <v/>
      </c>
      <c r="C26" s="2">
        <f>EDATE($B$5,14)</f>
        <v/>
      </c>
      <c r="D26">
        <f>C26-B26</f>
        <v/>
      </c>
      <c r="E26" t="n">
        <v>0.0725</v>
      </c>
      <c r="F26">
        <f>J25</f>
        <v/>
      </c>
      <c r="G26">
        <f>ROUND(F26*E26/12,2)</f>
        <v/>
      </c>
      <c r="H26">
        <f>I26-G26</f>
        <v/>
      </c>
      <c r="I26">
        <f>I25</f>
        <v/>
      </c>
      <c r="J26">
        <f>F26-H26</f>
        <v/>
      </c>
      <c r="L26" s="2">
        <f>C25</f>
        <v/>
      </c>
      <c r="M26">
        <f>-I25</f>
        <v/>
      </c>
    </row>
    <row r="27">
      <c r="A27" t="n">
        <v>15</v>
      </c>
      <c r="B27" s="2">
        <f>EDATE($B$5,14)</f>
        <v/>
      </c>
      <c r="C27" s="2">
        <f>EDATE($B$5,15)</f>
        <v/>
      </c>
      <c r="D27">
        <f>C27-B27</f>
        <v/>
      </c>
      <c r="E27" t="n">
        <v>0.0725</v>
      </c>
      <c r="F27">
        <f>J26</f>
        <v/>
      </c>
      <c r="G27">
        <f>ROUND(F27*E27/12,2)</f>
        <v/>
      </c>
      <c r="H27">
        <f>I27-G27</f>
        <v/>
      </c>
      <c r="I27">
        <f>I26</f>
        <v/>
      </c>
      <c r="J27">
        <f>F27-H27</f>
        <v/>
      </c>
      <c r="L27" s="2">
        <f>C26</f>
        <v/>
      </c>
      <c r="M27">
        <f>-I26</f>
        <v/>
      </c>
    </row>
    <row r="28">
      <c r="A28" t="n">
        <v>16</v>
      </c>
      <c r="B28" s="2">
        <f>EDATE($B$5,15)</f>
        <v/>
      </c>
      <c r="C28" s="2">
        <f>EDATE($B$5,16)</f>
        <v/>
      </c>
      <c r="D28">
        <f>C28-B28</f>
        <v/>
      </c>
      <c r="E28" t="n">
        <v>0.0725</v>
      </c>
      <c r="F28">
        <f>J27</f>
        <v/>
      </c>
      <c r="G28">
        <f>ROUND(F28*E28/12,2)</f>
        <v/>
      </c>
      <c r="H28">
        <f>I28-G28</f>
        <v/>
      </c>
      <c r="I28">
        <f>I27</f>
        <v/>
      </c>
      <c r="J28">
        <f>F28-H28</f>
        <v/>
      </c>
      <c r="L28" s="2">
        <f>C27</f>
        <v/>
      </c>
      <c r="M28">
        <f>-I27</f>
        <v/>
      </c>
    </row>
    <row r="29">
      <c r="A29" t="n">
        <v>17</v>
      </c>
      <c r="B29" s="2">
        <f>EDATE($B$5,16)</f>
        <v/>
      </c>
      <c r="C29" s="2">
        <f>EDATE($B$5,17)</f>
        <v/>
      </c>
      <c r="D29">
        <f>C29-B29</f>
        <v/>
      </c>
      <c r="E29" t="n">
        <v>0.0725</v>
      </c>
      <c r="F29">
        <f>J28</f>
        <v/>
      </c>
      <c r="G29">
        <f>ROUND(F29*E29/12,2)</f>
        <v/>
      </c>
      <c r="H29">
        <f>I29-G29</f>
        <v/>
      </c>
      <c r="I29">
        <f>I28</f>
        <v/>
      </c>
      <c r="J29">
        <f>F29-H29</f>
        <v/>
      </c>
      <c r="L29" s="2">
        <f>C28</f>
        <v/>
      </c>
      <c r="M29">
        <f>-I28</f>
        <v/>
      </c>
    </row>
    <row r="30">
      <c r="A30" t="n">
        <v>18</v>
      </c>
      <c r="B30" s="2">
        <f>EDATE($B$5,17)</f>
        <v/>
      </c>
      <c r="C30" s="2">
        <f>EDATE($B$5,18)</f>
        <v/>
      </c>
      <c r="D30">
        <f>C30-B30</f>
        <v/>
      </c>
      <c r="E30" t="n">
        <v>0.0725</v>
      </c>
      <c r="F30">
        <f>J29</f>
        <v/>
      </c>
      <c r="G30">
        <f>ROUND(F30*E30/12,2)</f>
        <v/>
      </c>
      <c r="H30">
        <f>I30-G30</f>
        <v/>
      </c>
      <c r="I30">
        <f>I29</f>
        <v/>
      </c>
      <c r="J30">
        <f>F30-H30</f>
        <v/>
      </c>
      <c r="L30" s="2">
        <f>C29</f>
        <v/>
      </c>
      <c r="M30">
        <f>-I29</f>
        <v/>
      </c>
    </row>
    <row r="31">
      <c r="A31" t="n">
        <v>19</v>
      </c>
      <c r="B31" s="2">
        <f>EDATE($B$5,18)</f>
        <v/>
      </c>
      <c r="C31" s="2">
        <f>EDATE($B$5,19)</f>
        <v/>
      </c>
      <c r="D31">
        <f>C31-B31</f>
        <v/>
      </c>
      <c r="E31" t="n">
        <v>0.0725</v>
      </c>
      <c r="F31">
        <f>J30</f>
        <v/>
      </c>
      <c r="G31">
        <f>ROUND(F31*E31/12,2)</f>
        <v/>
      </c>
      <c r="H31">
        <f>I31-G31</f>
        <v/>
      </c>
      <c r="I31">
        <f>I30</f>
        <v/>
      </c>
      <c r="J31">
        <f>F31-H31</f>
        <v/>
      </c>
      <c r="L31" s="2">
        <f>C30</f>
        <v/>
      </c>
      <c r="M31">
        <f>-I30</f>
        <v/>
      </c>
    </row>
    <row r="32">
      <c r="A32" t="n">
        <v>20</v>
      </c>
      <c r="B32" s="2">
        <f>EDATE($B$5,19)</f>
        <v/>
      </c>
      <c r="C32" s="2">
        <f>EDATE($B$5,20)</f>
        <v/>
      </c>
      <c r="D32">
        <f>C32-B32</f>
        <v/>
      </c>
      <c r="E32" t="n">
        <v>0.0725</v>
      </c>
      <c r="F32">
        <f>J31</f>
        <v/>
      </c>
      <c r="G32">
        <f>ROUND(F32*E32/12,2)</f>
        <v/>
      </c>
      <c r="H32">
        <f>I32-G32</f>
        <v/>
      </c>
      <c r="I32">
        <f>I31</f>
        <v/>
      </c>
      <c r="J32">
        <f>F32-H32</f>
        <v/>
      </c>
      <c r="L32" s="2">
        <f>C31</f>
        <v/>
      </c>
      <c r="M32">
        <f>-I31</f>
        <v/>
      </c>
    </row>
    <row r="33">
      <c r="A33" t="n">
        <v>21</v>
      </c>
      <c r="B33" s="2">
        <f>EDATE($B$5,20)</f>
        <v/>
      </c>
      <c r="C33" s="2">
        <f>EDATE($B$5,21)</f>
        <v/>
      </c>
      <c r="D33">
        <f>C33-B33</f>
        <v/>
      </c>
      <c r="E33" t="n">
        <v>0.0725</v>
      </c>
      <c r="F33">
        <f>J32</f>
        <v/>
      </c>
      <c r="G33">
        <f>ROUND(F33*E33/12,2)</f>
        <v/>
      </c>
      <c r="H33">
        <f>I33-G33</f>
        <v/>
      </c>
      <c r="I33">
        <f>I32</f>
        <v/>
      </c>
      <c r="J33">
        <f>F33-H33</f>
        <v/>
      </c>
      <c r="L33" s="2">
        <f>C32</f>
        <v/>
      </c>
      <c r="M33">
        <f>-I32</f>
        <v/>
      </c>
    </row>
    <row r="34">
      <c r="A34" t="n">
        <v>22</v>
      </c>
      <c r="B34" s="2">
        <f>EDATE($B$5,21)</f>
        <v/>
      </c>
      <c r="C34" s="2">
        <f>EDATE($B$5,22)</f>
        <v/>
      </c>
      <c r="D34">
        <f>C34-B34</f>
        <v/>
      </c>
      <c r="E34" t="n">
        <v>0.0725</v>
      </c>
      <c r="F34">
        <f>J33</f>
        <v/>
      </c>
      <c r="G34">
        <f>ROUND(F34*E34/12,2)</f>
        <v/>
      </c>
      <c r="H34">
        <f>I34-G34</f>
        <v/>
      </c>
      <c r="I34">
        <f>I33</f>
        <v/>
      </c>
      <c r="J34">
        <f>F34-H34</f>
        <v/>
      </c>
      <c r="L34" s="2">
        <f>C33</f>
        <v/>
      </c>
      <c r="M34">
        <f>-I33</f>
        <v/>
      </c>
    </row>
    <row r="35">
      <c r="A35" t="n">
        <v>23</v>
      </c>
      <c r="B35" s="2">
        <f>EDATE($B$5,22)</f>
        <v/>
      </c>
      <c r="C35" s="2">
        <f>EDATE($B$5,23)</f>
        <v/>
      </c>
      <c r="D35">
        <f>C35-B35</f>
        <v/>
      </c>
      <c r="E35" t="n">
        <v>0.0725</v>
      </c>
      <c r="F35">
        <f>J34</f>
        <v/>
      </c>
      <c r="G35">
        <f>ROUND(F35*E35/12,2)</f>
        <v/>
      </c>
      <c r="H35">
        <f>I35-G35</f>
        <v/>
      </c>
      <c r="I35">
        <f>I34</f>
        <v/>
      </c>
      <c r="J35">
        <f>F35-H35</f>
        <v/>
      </c>
      <c r="L35" s="2">
        <f>C34</f>
        <v/>
      </c>
      <c r="M35">
        <f>-I34</f>
        <v/>
      </c>
    </row>
    <row r="36">
      <c r="A36" t="n">
        <v>24</v>
      </c>
      <c r="B36" s="2">
        <f>EDATE($B$5,23)</f>
        <v/>
      </c>
      <c r="C36" s="2">
        <f>EDATE($B$5,24)</f>
        <v/>
      </c>
      <c r="D36">
        <f>C36-B36</f>
        <v/>
      </c>
      <c r="E36" t="n">
        <v>0.0725</v>
      </c>
      <c r="F36">
        <f>J35</f>
        <v/>
      </c>
      <c r="G36">
        <f>ROUND(F36*E36/12,2)</f>
        <v/>
      </c>
      <c r="H36">
        <f>I36-G36</f>
        <v/>
      </c>
      <c r="I36">
        <f>I35</f>
        <v/>
      </c>
      <c r="J36">
        <f>F36-H36</f>
        <v/>
      </c>
      <c r="L36" s="2">
        <f>C35</f>
        <v/>
      </c>
      <c r="M36">
        <f>-I35</f>
        <v/>
      </c>
    </row>
    <row r="37">
      <c r="A37" t="n">
        <v>25</v>
      </c>
      <c r="B37" s="2">
        <f>EDATE($B$5,24)</f>
        <v/>
      </c>
      <c r="C37" s="2">
        <f>EDATE($B$5,25)</f>
        <v/>
      </c>
      <c r="D37">
        <f>C37-B37</f>
        <v/>
      </c>
      <c r="E37" t="n">
        <v>0.0725</v>
      </c>
      <c r="F37">
        <f>J36</f>
        <v/>
      </c>
      <c r="G37">
        <f>ROUND(F37*E37/12,2)</f>
        <v/>
      </c>
      <c r="H37">
        <f>I37-G37</f>
        <v/>
      </c>
      <c r="I37">
        <f>I36</f>
        <v/>
      </c>
      <c r="J37">
        <f>F37-H37</f>
        <v/>
      </c>
      <c r="L37" s="2">
        <f>C36</f>
        <v/>
      </c>
      <c r="M37">
        <f>-I36</f>
        <v/>
      </c>
    </row>
    <row r="38">
      <c r="A38" t="n">
        <v>26</v>
      </c>
      <c r="B38" s="2">
        <f>EDATE($B$5,25)</f>
        <v/>
      </c>
      <c r="C38" s="2">
        <f>EDATE($B$5,26)</f>
        <v/>
      </c>
      <c r="D38">
        <f>C38-B38</f>
        <v/>
      </c>
      <c r="E38" t="n">
        <v>0.0725</v>
      </c>
      <c r="F38">
        <f>J37</f>
        <v/>
      </c>
      <c r="G38">
        <f>ROUND(F38*E38/12,2)</f>
        <v/>
      </c>
      <c r="H38">
        <f>I38-G38</f>
        <v/>
      </c>
      <c r="I38">
        <f>I37</f>
        <v/>
      </c>
      <c r="J38">
        <f>F38-H38</f>
        <v/>
      </c>
      <c r="L38" s="2">
        <f>C37</f>
        <v/>
      </c>
      <c r="M38">
        <f>-I37</f>
        <v/>
      </c>
    </row>
    <row r="39">
      <c r="A39" t="n">
        <v>27</v>
      </c>
      <c r="B39" s="2">
        <f>EDATE($B$5,26)</f>
        <v/>
      </c>
      <c r="C39" s="2">
        <f>EDATE($B$5,27)</f>
        <v/>
      </c>
      <c r="D39">
        <f>C39-B39</f>
        <v/>
      </c>
      <c r="E39" t="n">
        <v>0.0725</v>
      </c>
      <c r="F39">
        <f>J38</f>
        <v/>
      </c>
      <c r="G39">
        <f>ROUND(F39*E39/12,2)</f>
        <v/>
      </c>
      <c r="H39">
        <f>I39-G39</f>
        <v/>
      </c>
      <c r="I39">
        <f>I38</f>
        <v/>
      </c>
      <c r="J39">
        <f>F39-H39</f>
        <v/>
      </c>
      <c r="L39" s="2">
        <f>C38</f>
        <v/>
      </c>
      <c r="M39">
        <f>-I38</f>
        <v/>
      </c>
    </row>
    <row r="40">
      <c r="A40" t="n">
        <v>28</v>
      </c>
      <c r="B40" s="2">
        <f>EDATE($B$5,27)</f>
        <v/>
      </c>
      <c r="C40" s="2">
        <f>EDATE($B$5,28)</f>
        <v/>
      </c>
      <c r="D40">
        <f>C40-B40</f>
        <v/>
      </c>
      <c r="E40" t="n">
        <v>0.0725</v>
      </c>
      <c r="F40">
        <f>J39</f>
        <v/>
      </c>
      <c r="G40">
        <f>ROUND(F40*E40/12,2)</f>
        <v/>
      </c>
      <c r="H40">
        <f>I40-G40</f>
        <v/>
      </c>
      <c r="I40">
        <f>I39</f>
        <v/>
      </c>
      <c r="J40">
        <f>F40-H40</f>
        <v/>
      </c>
      <c r="L40" s="2">
        <f>C39</f>
        <v/>
      </c>
      <c r="M40">
        <f>-I39</f>
        <v/>
      </c>
    </row>
    <row r="41">
      <c r="A41" t="n">
        <v>29</v>
      </c>
      <c r="B41" s="2">
        <f>EDATE($B$5,28)</f>
        <v/>
      </c>
      <c r="C41" s="2">
        <f>EDATE($B$5,29)</f>
        <v/>
      </c>
      <c r="D41">
        <f>C41-B41</f>
        <v/>
      </c>
      <c r="E41" t="n">
        <v>0.0725</v>
      </c>
      <c r="F41">
        <f>J40</f>
        <v/>
      </c>
      <c r="G41">
        <f>ROUND(F41*E41/12,2)</f>
        <v/>
      </c>
      <c r="H41">
        <f>I41-G41</f>
        <v/>
      </c>
      <c r="I41">
        <f>I40</f>
        <v/>
      </c>
      <c r="J41">
        <f>F41-H41</f>
        <v/>
      </c>
      <c r="L41" s="2">
        <f>C40</f>
        <v/>
      </c>
      <c r="M41">
        <f>-I40</f>
        <v/>
      </c>
    </row>
    <row r="42">
      <c r="A42" t="n">
        <v>30</v>
      </c>
      <c r="B42" s="2">
        <f>EDATE($B$5,29)</f>
        <v/>
      </c>
      <c r="C42" s="2">
        <f>EDATE($B$5,30)</f>
        <v/>
      </c>
      <c r="D42">
        <f>C42-B42</f>
        <v/>
      </c>
      <c r="E42" t="n">
        <v>0.0725</v>
      </c>
      <c r="F42">
        <f>J41</f>
        <v/>
      </c>
      <c r="G42">
        <f>ROUND(F42*E42/12,2)</f>
        <v/>
      </c>
      <c r="H42">
        <f>I42-G42</f>
        <v/>
      </c>
      <c r="I42">
        <f>I41</f>
        <v/>
      </c>
      <c r="J42">
        <f>F42-H42</f>
        <v/>
      </c>
      <c r="L42" s="2">
        <f>C41</f>
        <v/>
      </c>
      <c r="M42">
        <f>-I41</f>
        <v/>
      </c>
    </row>
    <row r="43">
      <c r="A43" t="n">
        <v>31</v>
      </c>
      <c r="B43" s="2">
        <f>EDATE($B$5,30)</f>
        <v/>
      </c>
      <c r="C43" s="2">
        <f>EDATE($B$5,31)</f>
        <v/>
      </c>
      <c r="D43">
        <f>C43-B43</f>
        <v/>
      </c>
      <c r="E43" t="n">
        <v>0.0725</v>
      </c>
      <c r="F43">
        <f>J42</f>
        <v/>
      </c>
      <c r="G43">
        <f>ROUND(F43*E43/12,2)</f>
        <v/>
      </c>
      <c r="H43">
        <f>I43-G43</f>
        <v/>
      </c>
      <c r="I43">
        <f>I42</f>
        <v/>
      </c>
      <c r="J43">
        <f>F43-H43</f>
        <v/>
      </c>
      <c r="L43" s="2">
        <f>C42</f>
        <v/>
      </c>
      <c r="M43">
        <f>-I42</f>
        <v/>
      </c>
    </row>
    <row r="44">
      <c r="A44" t="n">
        <v>32</v>
      </c>
      <c r="B44" s="2">
        <f>EDATE($B$5,31)</f>
        <v/>
      </c>
      <c r="C44" s="2">
        <f>EDATE($B$5,32)</f>
        <v/>
      </c>
      <c r="D44">
        <f>C44-B44</f>
        <v/>
      </c>
      <c r="E44" t="n">
        <v>0.0725</v>
      </c>
      <c r="F44">
        <f>J43</f>
        <v/>
      </c>
      <c r="G44">
        <f>ROUND(F44*E44/12,2)</f>
        <v/>
      </c>
      <c r="H44">
        <f>I44-G44</f>
        <v/>
      </c>
      <c r="I44">
        <f>I43</f>
        <v/>
      </c>
      <c r="J44">
        <f>F44-H44</f>
        <v/>
      </c>
      <c r="L44" s="2">
        <f>C43</f>
        <v/>
      </c>
      <c r="M44">
        <f>-I43</f>
        <v/>
      </c>
    </row>
    <row r="45">
      <c r="A45" t="n">
        <v>33</v>
      </c>
      <c r="B45" s="2">
        <f>EDATE($B$5,32)</f>
        <v/>
      </c>
      <c r="C45" s="2">
        <f>EDATE($B$5,33)</f>
        <v/>
      </c>
      <c r="D45">
        <f>C45-B45</f>
        <v/>
      </c>
      <c r="E45" t="n">
        <v>0.0725</v>
      </c>
      <c r="F45">
        <f>J44</f>
        <v/>
      </c>
      <c r="G45">
        <f>ROUND(F45*E45/12,2)</f>
        <v/>
      </c>
      <c r="H45">
        <f>I45-G45</f>
        <v/>
      </c>
      <c r="I45">
        <f>I44</f>
        <v/>
      </c>
      <c r="J45">
        <f>F45-H45</f>
        <v/>
      </c>
      <c r="L45" s="2">
        <f>C44</f>
        <v/>
      </c>
      <c r="M45">
        <f>-I44</f>
        <v/>
      </c>
    </row>
    <row r="46">
      <c r="A46" t="n">
        <v>34</v>
      </c>
      <c r="B46" s="2">
        <f>EDATE($B$5,33)</f>
        <v/>
      </c>
      <c r="C46" s="2">
        <f>EDATE($B$5,34)</f>
        <v/>
      </c>
      <c r="D46">
        <f>C46-B46</f>
        <v/>
      </c>
      <c r="E46" t="n">
        <v>0.0725</v>
      </c>
      <c r="F46">
        <f>J45</f>
        <v/>
      </c>
      <c r="G46">
        <f>ROUND(F46*E46/12,2)</f>
        <v/>
      </c>
      <c r="H46">
        <f>I46-G46</f>
        <v/>
      </c>
      <c r="I46">
        <f>I45</f>
        <v/>
      </c>
      <c r="J46">
        <f>F46-H46</f>
        <v/>
      </c>
      <c r="L46" s="2">
        <f>C45</f>
        <v/>
      </c>
      <c r="M46">
        <f>-I45</f>
        <v/>
      </c>
    </row>
    <row r="47">
      <c r="A47" t="n">
        <v>35</v>
      </c>
      <c r="B47" s="2">
        <f>EDATE($B$5,34)</f>
        <v/>
      </c>
      <c r="C47" s="2">
        <f>EDATE($B$5,35)</f>
        <v/>
      </c>
      <c r="D47">
        <f>C47-B47</f>
        <v/>
      </c>
      <c r="E47" t="n">
        <v>0.0725</v>
      </c>
      <c r="F47">
        <f>J46</f>
        <v/>
      </c>
      <c r="G47">
        <f>ROUND(F47*E47/12,2)</f>
        <v/>
      </c>
      <c r="H47">
        <f>I47-G47</f>
        <v/>
      </c>
      <c r="I47">
        <f>I46</f>
        <v/>
      </c>
      <c r="J47">
        <f>F47-H47</f>
        <v/>
      </c>
      <c r="L47" s="2">
        <f>C46</f>
        <v/>
      </c>
      <c r="M47">
        <f>-I46</f>
        <v/>
      </c>
    </row>
    <row r="48">
      <c r="A48" t="n">
        <v>36</v>
      </c>
      <c r="B48" s="2">
        <f>EDATE($B$5,35)</f>
        <v/>
      </c>
      <c r="C48" s="2">
        <f>EDATE($B$5,36)</f>
        <v/>
      </c>
      <c r="D48">
        <f>C48-B48</f>
        <v/>
      </c>
      <c r="E48" t="n">
        <v>0.0725</v>
      </c>
      <c r="F48">
        <f>J47</f>
        <v/>
      </c>
      <c r="G48">
        <f>ROUND(F48*E48/12,2)</f>
        <v/>
      </c>
      <c r="H48">
        <f>I48-G48</f>
        <v/>
      </c>
      <c r="I48">
        <f>F48+G48</f>
        <v/>
      </c>
      <c r="J48">
        <f>F48-H48</f>
        <v/>
      </c>
      <c r="L48" s="2">
        <f>C47</f>
        <v/>
      </c>
      <c r="M48">
        <f>-I47</f>
        <v/>
      </c>
    </row>
    <row r="49">
      <c r="L49" s="2">
        <f>C48</f>
        <v/>
      </c>
      <c r="M49">
        <f>-I48</f>
        <v/>
      </c>
    </row>
    <row r="50">
      <c r="A50" s="1" t="inlineStr">
        <is>
          <t>Total interest</t>
        </is>
      </c>
      <c r="B50">
        <f>SUM(G13:G48)</f>
        <v/>
      </c>
    </row>
    <row r="51">
      <c r="A51" s="1" t="inlineStr">
        <is>
          <t>Total payback</t>
        </is>
      </c>
      <c r="B51">
        <f>SUM(I13:I48)</f>
        <v/>
      </c>
    </row>
    <row r="52">
      <c r="A52" s="1" t="inlineStr">
        <is>
          <t>Interest share of payback</t>
        </is>
      </c>
      <c r="B52">
        <f>B50/B51</f>
        <v/>
      </c>
    </row>
    <row r="53">
      <c r="A53" s="1" t="inlineStr">
        <is>
          <t>Money received (loan - fee)</t>
        </is>
      </c>
      <c r="B53">
        <f>B3-B9</f>
        <v/>
      </c>
    </row>
    <row r="54">
      <c r="A54" s="1" t="inlineStr">
        <is>
          <t>Effective APR (XIRR)</t>
        </is>
      </c>
      <c r="B54">
        <f>XIRR(M13:M49,L13:L49)</f>
        <v/>
      </c>
    </row>
    <row r="55">
      <c r="A55" t="inlineStr">
        <is>
          <t>Check: IPMT month 1</t>
        </is>
      </c>
      <c r="B55">
        <f>IPMT(E13/12,1,B4,-B3)</f>
        <v/>
      </c>
    </row>
    <row r="57">
      <c r="A57" s="1" t="inlineStr">
        <is>
          <t>Expected by the page (Python reference):</t>
        </is>
      </c>
    </row>
    <row r="58">
      <c r="A58" t="inlineStr">
        <is>
          <t>totalInterest</t>
        </is>
      </c>
      <c r="B58" t="n">
        <v>2892.38</v>
      </c>
    </row>
    <row r="59">
      <c r="A59" t="inlineStr">
        <is>
          <t>totalPayback</t>
        </is>
      </c>
      <c r="B59" t="n">
        <v>27892.38</v>
      </c>
    </row>
    <row r="60">
      <c r="A60" t="inlineStr">
        <is>
          <t>effectiveApr</t>
        </is>
      </c>
      <c r="B60" t="n">
        <v>0.08234012521727052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interest-only, variable 8% then 12%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12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30/360</t>
        </is>
      </c>
    </row>
    <row r="7">
      <c r="A7" t="inlineStr">
        <is>
          <t>Repayment</t>
        </is>
      </c>
      <c r="B7" t="inlineStr">
        <is>
          <t>interestOnly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0.08</v>
      </c>
      <c r="F13">
        <f>$B$3</f>
        <v/>
      </c>
      <c r="G13">
        <f>ROUND(F13*E13/12,2)</f>
        <v/>
      </c>
      <c r="H13" t="n">
        <v>0</v>
      </c>
      <c r="I13">
        <f>G13+H13</f>
        <v/>
      </c>
      <c r="J13">
        <f>F13-H13</f>
        <v/>
      </c>
      <c r="L13" s="2">
        <f>B5</f>
        <v/>
      </c>
      <c r="M13">
        <f>B29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0.08</v>
      </c>
      <c r="F14">
        <f>J13</f>
        <v/>
      </c>
      <c r="G14">
        <f>ROUND(F14*E14/12,2)</f>
        <v/>
      </c>
      <c r="H14" t="n">
        <v>0</v>
      </c>
      <c r="I14">
        <f>G14+H14</f>
        <v/>
      </c>
      <c r="J14">
        <f>F14-H14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0.08</v>
      </c>
      <c r="F15">
        <f>J14</f>
        <v/>
      </c>
      <c r="G15">
        <f>ROUND(F15*E15/12,2)</f>
        <v/>
      </c>
      <c r="H15" t="n">
        <v>0</v>
      </c>
      <c r="I15">
        <f>G15+H15</f>
        <v/>
      </c>
      <c r="J15">
        <f>F15-H15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0.08</v>
      </c>
      <c r="F16">
        <f>J15</f>
        <v/>
      </c>
      <c r="G16">
        <f>ROUND(F16*E16/12,2)</f>
        <v/>
      </c>
      <c r="H16" t="n">
        <v>0</v>
      </c>
      <c r="I16">
        <f>G16+H16</f>
        <v/>
      </c>
      <c r="J16">
        <f>F16-H16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0.08</v>
      </c>
      <c r="F17">
        <f>J16</f>
        <v/>
      </c>
      <c r="G17">
        <f>ROUND(F17*E17/12,2)</f>
        <v/>
      </c>
      <c r="H17" t="n">
        <v>0</v>
      </c>
      <c r="I17">
        <f>G17+H17</f>
        <v/>
      </c>
      <c r="J17">
        <f>F17-H17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0.08</v>
      </c>
      <c r="F18">
        <f>J17</f>
        <v/>
      </c>
      <c r="G18">
        <f>ROUND(F18*E18/12,2)</f>
        <v/>
      </c>
      <c r="H18" t="n">
        <v>0</v>
      </c>
      <c r="I18">
        <f>G18+H18</f>
        <v/>
      </c>
      <c r="J18">
        <f>F18-H18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0.12</v>
      </c>
      <c r="F19">
        <f>J18</f>
        <v/>
      </c>
      <c r="G19">
        <f>ROUND(F19*E19/12,2)</f>
        <v/>
      </c>
      <c r="H19" t="n">
        <v>0</v>
      </c>
      <c r="I19">
        <f>G19+H19</f>
        <v/>
      </c>
      <c r="J19">
        <f>F19-H19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0.12</v>
      </c>
      <c r="F20">
        <f>J19</f>
        <v/>
      </c>
      <c r="G20">
        <f>ROUND(F20*E20/12,2)</f>
        <v/>
      </c>
      <c r="H20" t="n">
        <v>0</v>
      </c>
      <c r="I20">
        <f>G20+H20</f>
        <v/>
      </c>
      <c r="J20">
        <f>F20-H20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0.12</v>
      </c>
      <c r="F21">
        <f>J20</f>
        <v/>
      </c>
      <c r="G21">
        <f>ROUND(F21*E21/12,2)</f>
        <v/>
      </c>
      <c r="H21" t="n">
        <v>0</v>
      </c>
      <c r="I21">
        <f>G21+H21</f>
        <v/>
      </c>
      <c r="J21">
        <f>F21-H21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0.12</v>
      </c>
      <c r="F22">
        <f>J21</f>
        <v/>
      </c>
      <c r="G22">
        <f>ROUND(F22*E22/12,2)</f>
        <v/>
      </c>
      <c r="H22" t="n">
        <v>0</v>
      </c>
      <c r="I22">
        <f>G22+H22</f>
        <v/>
      </c>
      <c r="J22">
        <f>F22-H22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0.12</v>
      </c>
      <c r="F23">
        <f>J22</f>
        <v/>
      </c>
      <c r="G23">
        <f>ROUND(F23*E23/12,2)</f>
        <v/>
      </c>
      <c r="H23" t="n">
        <v>0</v>
      </c>
      <c r="I23">
        <f>G23+H23</f>
        <v/>
      </c>
      <c r="J23">
        <f>F23-H23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0.12</v>
      </c>
      <c r="F24">
        <f>J23</f>
        <v/>
      </c>
      <c r="G24">
        <f>ROUND(F24*E24/12,2)</f>
        <v/>
      </c>
      <c r="H24">
        <f>F24</f>
        <v/>
      </c>
      <c r="I24">
        <f>G24+H24</f>
        <v/>
      </c>
      <c r="J24">
        <f>F24-H24</f>
        <v/>
      </c>
      <c r="L24" s="2">
        <f>C23</f>
        <v/>
      </c>
      <c r="M24">
        <f>-I23</f>
        <v/>
      </c>
    </row>
    <row r="25">
      <c r="L25" s="2">
        <f>C24</f>
        <v/>
      </c>
      <c r="M25">
        <f>-I24</f>
        <v/>
      </c>
    </row>
    <row r="26">
      <c r="A26" s="1" t="inlineStr">
        <is>
          <t>Total interest</t>
        </is>
      </c>
      <c r="B26">
        <f>SUM(G13:G24)</f>
        <v/>
      </c>
    </row>
    <row r="27">
      <c r="A27" s="1" t="inlineStr">
        <is>
          <t>Total payback</t>
        </is>
      </c>
      <c r="B27">
        <f>SUM(I13:I24)</f>
        <v/>
      </c>
    </row>
    <row r="28">
      <c r="A28" s="1" t="inlineStr">
        <is>
          <t>Interest share of payback</t>
        </is>
      </c>
      <c r="B28">
        <f>B26/B27</f>
        <v/>
      </c>
    </row>
    <row r="29">
      <c r="A29" s="1" t="inlineStr">
        <is>
          <t>Money received (loan - fee)</t>
        </is>
      </c>
      <c r="B29">
        <f>B3-B9</f>
        <v/>
      </c>
    </row>
    <row r="30">
      <c r="A30" s="1" t="inlineStr">
        <is>
          <t>Effective APR (XIRR)</t>
        </is>
      </c>
      <c r="B30">
        <f>XIRR(M13:M25,L13:L25)</f>
        <v/>
      </c>
    </row>
    <row r="33">
      <c r="A33" s="1" t="inlineStr">
        <is>
          <t>Expected by the page (Python reference):</t>
        </is>
      </c>
    </row>
    <row r="34">
      <c r="A34" t="inlineStr">
        <is>
          <t>totalInterest</t>
        </is>
      </c>
      <c r="B34" t="n">
        <v>1000.02</v>
      </c>
    </row>
    <row r="35">
      <c r="A35" t="inlineStr">
        <is>
          <t>totalPayback</t>
        </is>
      </c>
      <c r="B35" t="n">
        <v>11000.02</v>
      </c>
    </row>
    <row r="36">
      <c r="A36" t="inlineStr">
        <is>
          <t>effectiveApr</t>
        </is>
      </c>
      <c r="B36" t="n">
        <v>0.104194270273443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amortizing, variable 6% then 9%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24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30/360</t>
        </is>
      </c>
    </row>
    <row r="7">
      <c r="A7" t="inlineStr">
        <is>
          <t>Repayment</t>
        </is>
      </c>
      <c r="B7" t="inlineStr">
        <is>
          <t>amortizing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0.06</v>
      </c>
      <c r="F13">
        <f>$B$3</f>
        <v/>
      </c>
      <c r="G13">
        <f>ROUND(F13*E13/12,2)</f>
        <v/>
      </c>
      <c r="H13">
        <f>I13-G13</f>
        <v/>
      </c>
      <c r="I13">
        <f>ROUND(PMT(E13/12,24,-F13),2)</f>
        <v/>
      </c>
      <c r="J13">
        <f>F13-H13</f>
        <v/>
      </c>
      <c r="L13" s="2">
        <f>B5</f>
        <v/>
      </c>
      <c r="M13">
        <f>B41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0.06</v>
      </c>
      <c r="F14">
        <f>J13</f>
        <v/>
      </c>
      <c r="G14">
        <f>ROUND(F14*E14/12,2)</f>
        <v/>
      </c>
      <c r="H14">
        <f>I14-G14</f>
        <v/>
      </c>
      <c r="I14">
        <f>I13</f>
        <v/>
      </c>
      <c r="J14">
        <f>F14-H14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0.06</v>
      </c>
      <c r="F15">
        <f>J14</f>
        <v/>
      </c>
      <c r="G15">
        <f>ROUND(F15*E15/12,2)</f>
        <v/>
      </c>
      <c r="H15">
        <f>I15-G15</f>
        <v/>
      </c>
      <c r="I15">
        <f>I14</f>
        <v/>
      </c>
      <c r="J15">
        <f>F15-H15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0.06</v>
      </c>
      <c r="F16">
        <f>J15</f>
        <v/>
      </c>
      <c r="G16">
        <f>ROUND(F16*E16/12,2)</f>
        <v/>
      </c>
      <c r="H16">
        <f>I16-G16</f>
        <v/>
      </c>
      <c r="I16">
        <f>I15</f>
        <v/>
      </c>
      <c r="J16">
        <f>F16-H16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0.06</v>
      </c>
      <c r="F17">
        <f>J16</f>
        <v/>
      </c>
      <c r="G17">
        <f>ROUND(F17*E17/12,2)</f>
        <v/>
      </c>
      <c r="H17">
        <f>I17-G17</f>
        <v/>
      </c>
      <c r="I17">
        <f>I16</f>
        <v/>
      </c>
      <c r="J17">
        <f>F17-H17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0.06</v>
      </c>
      <c r="F18">
        <f>J17</f>
        <v/>
      </c>
      <c r="G18">
        <f>ROUND(F18*E18/12,2)</f>
        <v/>
      </c>
      <c r="H18">
        <f>I18-G18</f>
        <v/>
      </c>
      <c r="I18">
        <f>I17</f>
        <v/>
      </c>
      <c r="J18">
        <f>F18-H18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0.06</v>
      </c>
      <c r="F19">
        <f>J18</f>
        <v/>
      </c>
      <c r="G19">
        <f>ROUND(F19*E19/12,2)</f>
        <v/>
      </c>
      <c r="H19">
        <f>I19-G19</f>
        <v/>
      </c>
      <c r="I19">
        <f>I18</f>
        <v/>
      </c>
      <c r="J19">
        <f>F19-H19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0.06</v>
      </c>
      <c r="F20">
        <f>J19</f>
        <v/>
      </c>
      <c r="G20">
        <f>ROUND(F20*E20/12,2)</f>
        <v/>
      </c>
      <c r="H20">
        <f>I20-G20</f>
        <v/>
      </c>
      <c r="I20">
        <f>I19</f>
        <v/>
      </c>
      <c r="J20">
        <f>F20-H20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0.06</v>
      </c>
      <c r="F21">
        <f>J20</f>
        <v/>
      </c>
      <c r="G21">
        <f>ROUND(F21*E21/12,2)</f>
        <v/>
      </c>
      <c r="H21">
        <f>I21-G21</f>
        <v/>
      </c>
      <c r="I21">
        <f>I20</f>
        <v/>
      </c>
      <c r="J21">
        <f>F21-H21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0.06</v>
      </c>
      <c r="F22">
        <f>J21</f>
        <v/>
      </c>
      <c r="G22">
        <f>ROUND(F22*E22/12,2)</f>
        <v/>
      </c>
      <c r="H22">
        <f>I22-G22</f>
        <v/>
      </c>
      <c r="I22">
        <f>I21</f>
        <v/>
      </c>
      <c r="J22">
        <f>F22-H22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0.06</v>
      </c>
      <c r="F23">
        <f>J22</f>
        <v/>
      </c>
      <c r="G23">
        <f>ROUND(F23*E23/12,2)</f>
        <v/>
      </c>
      <c r="H23">
        <f>I23-G23</f>
        <v/>
      </c>
      <c r="I23">
        <f>I22</f>
        <v/>
      </c>
      <c r="J23">
        <f>F23-H23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0.06</v>
      </c>
      <c r="F24">
        <f>J23</f>
        <v/>
      </c>
      <c r="G24">
        <f>ROUND(F24*E24/12,2)</f>
        <v/>
      </c>
      <c r="H24">
        <f>I24-G24</f>
        <v/>
      </c>
      <c r="I24">
        <f>I23</f>
        <v/>
      </c>
      <c r="J24">
        <f>F24-H24</f>
        <v/>
      </c>
      <c r="L24" s="2">
        <f>C23</f>
        <v/>
      </c>
      <c r="M24">
        <f>-I23</f>
        <v/>
      </c>
    </row>
    <row r="25">
      <c r="A25" t="n">
        <v>13</v>
      </c>
      <c r="B25" s="2">
        <f>EDATE($B$5,12)</f>
        <v/>
      </c>
      <c r="C25" s="2">
        <f>EDATE($B$5,13)</f>
        <v/>
      </c>
      <c r="D25">
        <f>C25-B25</f>
        <v/>
      </c>
      <c r="E25" t="n">
        <v>0.09</v>
      </c>
      <c r="F25">
        <f>J24</f>
        <v/>
      </c>
      <c r="G25">
        <f>ROUND(F25*E25/12,2)</f>
        <v/>
      </c>
      <c r="H25">
        <f>I25-G25</f>
        <v/>
      </c>
      <c r="I25">
        <f>ROUND(PMT(E25/12,12,-F25),2)</f>
        <v/>
      </c>
      <c r="J25">
        <f>F25-H25</f>
        <v/>
      </c>
      <c r="L25" s="2">
        <f>C24</f>
        <v/>
      </c>
      <c r="M25">
        <f>-I24</f>
        <v/>
      </c>
    </row>
    <row r="26">
      <c r="A26" t="n">
        <v>14</v>
      </c>
      <c r="B26" s="2">
        <f>EDATE($B$5,13)</f>
        <v/>
      </c>
      <c r="C26" s="2">
        <f>EDATE($B$5,14)</f>
        <v/>
      </c>
      <c r="D26">
        <f>C26-B26</f>
        <v/>
      </c>
      <c r="E26" t="n">
        <v>0.09</v>
      </c>
      <c r="F26">
        <f>J25</f>
        <v/>
      </c>
      <c r="G26">
        <f>ROUND(F26*E26/12,2)</f>
        <v/>
      </c>
      <c r="H26">
        <f>I26-G26</f>
        <v/>
      </c>
      <c r="I26">
        <f>I25</f>
        <v/>
      </c>
      <c r="J26">
        <f>F26-H26</f>
        <v/>
      </c>
      <c r="L26" s="2">
        <f>C25</f>
        <v/>
      </c>
      <c r="M26">
        <f>-I25</f>
        <v/>
      </c>
    </row>
    <row r="27">
      <c r="A27" t="n">
        <v>15</v>
      </c>
      <c r="B27" s="2">
        <f>EDATE($B$5,14)</f>
        <v/>
      </c>
      <c r="C27" s="2">
        <f>EDATE($B$5,15)</f>
        <v/>
      </c>
      <c r="D27">
        <f>C27-B27</f>
        <v/>
      </c>
      <c r="E27" t="n">
        <v>0.09</v>
      </c>
      <c r="F27">
        <f>J26</f>
        <v/>
      </c>
      <c r="G27">
        <f>ROUND(F27*E27/12,2)</f>
        <v/>
      </c>
      <c r="H27">
        <f>I27-G27</f>
        <v/>
      </c>
      <c r="I27">
        <f>I26</f>
        <v/>
      </c>
      <c r="J27">
        <f>F27-H27</f>
        <v/>
      </c>
      <c r="L27" s="2">
        <f>C26</f>
        <v/>
      </c>
      <c r="M27">
        <f>-I26</f>
        <v/>
      </c>
    </row>
    <row r="28">
      <c r="A28" t="n">
        <v>16</v>
      </c>
      <c r="B28" s="2">
        <f>EDATE($B$5,15)</f>
        <v/>
      </c>
      <c r="C28" s="2">
        <f>EDATE($B$5,16)</f>
        <v/>
      </c>
      <c r="D28">
        <f>C28-B28</f>
        <v/>
      </c>
      <c r="E28" t="n">
        <v>0.09</v>
      </c>
      <c r="F28">
        <f>J27</f>
        <v/>
      </c>
      <c r="G28">
        <f>ROUND(F28*E28/12,2)</f>
        <v/>
      </c>
      <c r="H28">
        <f>I28-G28</f>
        <v/>
      </c>
      <c r="I28">
        <f>I27</f>
        <v/>
      </c>
      <c r="J28">
        <f>F28-H28</f>
        <v/>
      </c>
      <c r="L28" s="2">
        <f>C27</f>
        <v/>
      </c>
      <c r="M28">
        <f>-I27</f>
        <v/>
      </c>
    </row>
    <row r="29">
      <c r="A29" t="n">
        <v>17</v>
      </c>
      <c r="B29" s="2">
        <f>EDATE($B$5,16)</f>
        <v/>
      </c>
      <c r="C29" s="2">
        <f>EDATE($B$5,17)</f>
        <v/>
      </c>
      <c r="D29">
        <f>C29-B29</f>
        <v/>
      </c>
      <c r="E29" t="n">
        <v>0.09</v>
      </c>
      <c r="F29">
        <f>J28</f>
        <v/>
      </c>
      <c r="G29">
        <f>ROUND(F29*E29/12,2)</f>
        <v/>
      </c>
      <c r="H29">
        <f>I29-G29</f>
        <v/>
      </c>
      <c r="I29">
        <f>I28</f>
        <v/>
      </c>
      <c r="J29">
        <f>F29-H29</f>
        <v/>
      </c>
      <c r="L29" s="2">
        <f>C28</f>
        <v/>
      </c>
      <c r="M29">
        <f>-I28</f>
        <v/>
      </c>
    </row>
    <row r="30">
      <c r="A30" t="n">
        <v>18</v>
      </c>
      <c r="B30" s="2">
        <f>EDATE($B$5,17)</f>
        <v/>
      </c>
      <c r="C30" s="2">
        <f>EDATE($B$5,18)</f>
        <v/>
      </c>
      <c r="D30">
        <f>C30-B30</f>
        <v/>
      </c>
      <c r="E30" t="n">
        <v>0.09</v>
      </c>
      <c r="F30">
        <f>J29</f>
        <v/>
      </c>
      <c r="G30">
        <f>ROUND(F30*E30/12,2)</f>
        <v/>
      </c>
      <c r="H30">
        <f>I30-G30</f>
        <v/>
      </c>
      <c r="I30">
        <f>I29</f>
        <v/>
      </c>
      <c r="J30">
        <f>F30-H30</f>
        <v/>
      </c>
      <c r="L30" s="2">
        <f>C29</f>
        <v/>
      </c>
      <c r="M30">
        <f>-I29</f>
        <v/>
      </c>
    </row>
    <row r="31">
      <c r="A31" t="n">
        <v>19</v>
      </c>
      <c r="B31" s="2">
        <f>EDATE($B$5,18)</f>
        <v/>
      </c>
      <c r="C31" s="2">
        <f>EDATE($B$5,19)</f>
        <v/>
      </c>
      <c r="D31">
        <f>C31-B31</f>
        <v/>
      </c>
      <c r="E31" t="n">
        <v>0.09</v>
      </c>
      <c r="F31">
        <f>J30</f>
        <v/>
      </c>
      <c r="G31">
        <f>ROUND(F31*E31/12,2)</f>
        <v/>
      </c>
      <c r="H31">
        <f>I31-G31</f>
        <v/>
      </c>
      <c r="I31">
        <f>I30</f>
        <v/>
      </c>
      <c r="J31">
        <f>F31-H31</f>
        <v/>
      </c>
      <c r="L31" s="2">
        <f>C30</f>
        <v/>
      </c>
      <c r="M31">
        <f>-I30</f>
        <v/>
      </c>
    </row>
    <row r="32">
      <c r="A32" t="n">
        <v>20</v>
      </c>
      <c r="B32" s="2">
        <f>EDATE($B$5,19)</f>
        <v/>
      </c>
      <c r="C32" s="2">
        <f>EDATE($B$5,20)</f>
        <v/>
      </c>
      <c r="D32">
        <f>C32-B32</f>
        <v/>
      </c>
      <c r="E32" t="n">
        <v>0.09</v>
      </c>
      <c r="F32">
        <f>J31</f>
        <v/>
      </c>
      <c r="G32">
        <f>ROUND(F32*E32/12,2)</f>
        <v/>
      </c>
      <c r="H32">
        <f>I32-G32</f>
        <v/>
      </c>
      <c r="I32">
        <f>I31</f>
        <v/>
      </c>
      <c r="J32">
        <f>F32-H32</f>
        <v/>
      </c>
      <c r="L32" s="2">
        <f>C31</f>
        <v/>
      </c>
      <c r="M32">
        <f>-I31</f>
        <v/>
      </c>
    </row>
    <row r="33">
      <c r="A33" t="n">
        <v>21</v>
      </c>
      <c r="B33" s="2">
        <f>EDATE($B$5,20)</f>
        <v/>
      </c>
      <c r="C33" s="2">
        <f>EDATE($B$5,21)</f>
        <v/>
      </c>
      <c r="D33">
        <f>C33-B33</f>
        <v/>
      </c>
      <c r="E33" t="n">
        <v>0.09</v>
      </c>
      <c r="F33">
        <f>J32</f>
        <v/>
      </c>
      <c r="G33">
        <f>ROUND(F33*E33/12,2)</f>
        <v/>
      </c>
      <c r="H33">
        <f>I33-G33</f>
        <v/>
      </c>
      <c r="I33">
        <f>I32</f>
        <v/>
      </c>
      <c r="J33">
        <f>F33-H33</f>
        <v/>
      </c>
      <c r="L33" s="2">
        <f>C32</f>
        <v/>
      </c>
      <c r="M33">
        <f>-I32</f>
        <v/>
      </c>
    </row>
    <row r="34">
      <c r="A34" t="n">
        <v>22</v>
      </c>
      <c r="B34" s="2">
        <f>EDATE($B$5,21)</f>
        <v/>
      </c>
      <c r="C34" s="2">
        <f>EDATE($B$5,22)</f>
        <v/>
      </c>
      <c r="D34">
        <f>C34-B34</f>
        <v/>
      </c>
      <c r="E34" t="n">
        <v>0.09</v>
      </c>
      <c r="F34">
        <f>J33</f>
        <v/>
      </c>
      <c r="G34">
        <f>ROUND(F34*E34/12,2)</f>
        <v/>
      </c>
      <c r="H34">
        <f>I34-G34</f>
        <v/>
      </c>
      <c r="I34">
        <f>I33</f>
        <v/>
      </c>
      <c r="J34">
        <f>F34-H34</f>
        <v/>
      </c>
      <c r="L34" s="2">
        <f>C33</f>
        <v/>
      </c>
      <c r="M34">
        <f>-I33</f>
        <v/>
      </c>
    </row>
    <row r="35">
      <c r="A35" t="n">
        <v>23</v>
      </c>
      <c r="B35" s="2">
        <f>EDATE($B$5,22)</f>
        <v/>
      </c>
      <c r="C35" s="2">
        <f>EDATE($B$5,23)</f>
        <v/>
      </c>
      <c r="D35">
        <f>C35-B35</f>
        <v/>
      </c>
      <c r="E35" t="n">
        <v>0.09</v>
      </c>
      <c r="F35">
        <f>J34</f>
        <v/>
      </c>
      <c r="G35">
        <f>ROUND(F35*E35/12,2)</f>
        <v/>
      </c>
      <c r="H35">
        <f>I35-G35</f>
        <v/>
      </c>
      <c r="I35">
        <f>I34</f>
        <v/>
      </c>
      <c r="J35">
        <f>F35-H35</f>
        <v/>
      </c>
      <c r="L35" s="2">
        <f>C34</f>
        <v/>
      </c>
      <c r="M35">
        <f>-I34</f>
        <v/>
      </c>
    </row>
    <row r="36">
      <c r="A36" t="n">
        <v>24</v>
      </c>
      <c r="B36" s="2">
        <f>EDATE($B$5,23)</f>
        <v/>
      </c>
      <c r="C36" s="2">
        <f>EDATE($B$5,24)</f>
        <v/>
      </c>
      <c r="D36">
        <f>C36-B36</f>
        <v/>
      </c>
      <c r="E36" t="n">
        <v>0.09</v>
      </c>
      <c r="F36">
        <f>J35</f>
        <v/>
      </c>
      <c r="G36">
        <f>ROUND(F36*E36/12,2)</f>
        <v/>
      </c>
      <c r="H36">
        <f>I36-G36</f>
        <v/>
      </c>
      <c r="I36">
        <f>F36+G36</f>
        <v/>
      </c>
      <c r="J36">
        <f>F36-H36</f>
        <v/>
      </c>
      <c r="L36" s="2">
        <f>C35</f>
        <v/>
      </c>
      <c r="M36">
        <f>-I35</f>
        <v/>
      </c>
    </row>
    <row r="37">
      <c r="L37" s="2">
        <f>C36</f>
        <v/>
      </c>
      <c r="M37">
        <f>-I36</f>
        <v/>
      </c>
    </row>
    <row r="38">
      <c r="A38" s="1" t="inlineStr">
        <is>
          <t>Total interest</t>
        </is>
      </c>
      <c r="B38">
        <f>SUM(G13:G36)</f>
        <v/>
      </c>
    </row>
    <row r="39">
      <c r="A39" s="1" t="inlineStr">
        <is>
          <t>Total payback</t>
        </is>
      </c>
      <c r="B39">
        <f>SUM(I13:I36)</f>
        <v/>
      </c>
    </row>
    <row r="40">
      <c r="A40" s="1" t="inlineStr">
        <is>
          <t>Interest share of payback</t>
        </is>
      </c>
      <c r="B40">
        <f>B38/B39</f>
        <v/>
      </c>
    </row>
    <row r="41">
      <c r="A41" s="1" t="inlineStr">
        <is>
          <t>Money received (loan - fee)</t>
        </is>
      </c>
      <c r="B41">
        <f>B3-B9</f>
        <v/>
      </c>
    </row>
    <row r="42">
      <c r="A42" s="1" t="inlineStr">
        <is>
          <t>Effective APR (XIRR)</t>
        </is>
      </c>
      <c r="B42">
        <f>XIRR(M13:M37,L13:L37)</f>
        <v/>
      </c>
    </row>
    <row r="45">
      <c r="A45" s="1" t="inlineStr">
        <is>
          <t>Expected by the page (Python reference):</t>
        </is>
      </c>
    </row>
    <row r="46">
      <c r="A46" t="inlineStr">
        <is>
          <t>totalInterest</t>
        </is>
      </c>
      <c r="B46" t="n">
        <v>722.51</v>
      </c>
    </row>
    <row r="47">
      <c r="A47" t="inlineStr">
        <is>
          <t>totalPayback</t>
        </is>
      </c>
      <c r="B47" t="n">
        <v>10722.51</v>
      </c>
    </row>
    <row r="48">
      <c r="A48" t="inlineStr">
        <is>
          <t>effectiveApr</t>
        </is>
      </c>
      <c r="B48" t="n">
        <v>0.06991811181944796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zero interest, 2% fee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12</v>
      </c>
    </row>
    <row r="5">
      <c r="A5" t="inlineStr">
        <is>
          <t>Start date</t>
        </is>
      </c>
      <c r="B5" s="2" t="n">
        <v>46023</v>
      </c>
    </row>
    <row r="6">
      <c r="A6" t="inlineStr">
        <is>
          <t>Day count</t>
        </is>
      </c>
      <c r="B6" t="inlineStr">
        <is>
          <t>30/360</t>
        </is>
      </c>
    </row>
    <row r="7">
      <c r="A7" t="inlineStr">
        <is>
          <t>Repayment</t>
        </is>
      </c>
      <c r="B7" t="inlineStr">
        <is>
          <t>interestOnly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200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</v>
      </c>
      <c r="F13">
        <f>$B$3</f>
        <v/>
      </c>
      <c r="G13">
        <f>ROUND(F13*E13/12,2)</f>
        <v/>
      </c>
      <c r="H13" t="n">
        <v>0</v>
      </c>
      <c r="I13">
        <f>G13+H13</f>
        <v/>
      </c>
      <c r="J13">
        <f>F13-H13</f>
        <v/>
      </c>
      <c r="L13" s="2">
        <f>B5</f>
        <v/>
      </c>
      <c r="M13">
        <f>B29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</v>
      </c>
      <c r="F14">
        <f>J13</f>
        <v/>
      </c>
      <c r="G14">
        <f>ROUND(F14*E14/12,2)</f>
        <v/>
      </c>
      <c r="H14" t="n">
        <v>0</v>
      </c>
      <c r="I14">
        <f>G14+H14</f>
        <v/>
      </c>
      <c r="J14">
        <f>F14-H14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</v>
      </c>
      <c r="F15">
        <f>J14</f>
        <v/>
      </c>
      <c r="G15">
        <f>ROUND(F15*E15/12,2)</f>
        <v/>
      </c>
      <c r="H15" t="n">
        <v>0</v>
      </c>
      <c r="I15">
        <f>G15+H15</f>
        <v/>
      </c>
      <c r="J15">
        <f>F15-H15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</v>
      </c>
      <c r="F16">
        <f>J15</f>
        <v/>
      </c>
      <c r="G16">
        <f>ROUND(F16*E16/12,2)</f>
        <v/>
      </c>
      <c r="H16" t="n">
        <v>0</v>
      </c>
      <c r="I16">
        <f>G16+H16</f>
        <v/>
      </c>
      <c r="J16">
        <f>F16-H16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</v>
      </c>
      <c r="F17">
        <f>J16</f>
        <v/>
      </c>
      <c r="G17">
        <f>ROUND(F17*E17/12,2)</f>
        <v/>
      </c>
      <c r="H17" t="n">
        <v>0</v>
      </c>
      <c r="I17">
        <f>G17+H17</f>
        <v/>
      </c>
      <c r="J17">
        <f>F17-H17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</v>
      </c>
      <c r="F18">
        <f>J17</f>
        <v/>
      </c>
      <c r="G18">
        <f>ROUND(F18*E18/12,2)</f>
        <v/>
      </c>
      <c r="H18" t="n">
        <v>0</v>
      </c>
      <c r="I18">
        <f>G18+H18</f>
        <v/>
      </c>
      <c r="J18">
        <f>F18-H18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</v>
      </c>
      <c r="F19">
        <f>J18</f>
        <v/>
      </c>
      <c r="G19">
        <f>ROUND(F19*E19/12,2)</f>
        <v/>
      </c>
      <c r="H19" t="n">
        <v>0</v>
      </c>
      <c r="I19">
        <f>G19+H19</f>
        <v/>
      </c>
      <c r="J19">
        <f>F19-H19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</v>
      </c>
      <c r="F20">
        <f>J19</f>
        <v/>
      </c>
      <c r="G20">
        <f>ROUND(F20*E20/12,2)</f>
        <v/>
      </c>
      <c r="H20" t="n">
        <v>0</v>
      </c>
      <c r="I20">
        <f>G20+H20</f>
        <v/>
      </c>
      <c r="J20">
        <f>F20-H20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</v>
      </c>
      <c r="F21">
        <f>J20</f>
        <v/>
      </c>
      <c r="G21">
        <f>ROUND(F21*E21/12,2)</f>
        <v/>
      </c>
      <c r="H21" t="n">
        <v>0</v>
      </c>
      <c r="I21">
        <f>G21+H21</f>
        <v/>
      </c>
      <c r="J21">
        <f>F21-H21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</v>
      </c>
      <c r="F22">
        <f>J21</f>
        <v/>
      </c>
      <c r="G22">
        <f>ROUND(F22*E22/12,2)</f>
        <v/>
      </c>
      <c r="H22" t="n">
        <v>0</v>
      </c>
      <c r="I22">
        <f>G22+H22</f>
        <v/>
      </c>
      <c r="J22">
        <f>F22-H22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</v>
      </c>
      <c r="F23">
        <f>J22</f>
        <v/>
      </c>
      <c r="G23">
        <f>ROUND(F23*E23/12,2)</f>
        <v/>
      </c>
      <c r="H23" t="n">
        <v>0</v>
      </c>
      <c r="I23">
        <f>G23+H23</f>
        <v/>
      </c>
      <c r="J23">
        <f>F23-H23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</v>
      </c>
      <c r="F24">
        <f>J23</f>
        <v/>
      </c>
      <c r="G24">
        <f>ROUND(F24*E24/12,2)</f>
        <v/>
      </c>
      <c r="H24">
        <f>F24</f>
        <v/>
      </c>
      <c r="I24">
        <f>G24+H24</f>
        <v/>
      </c>
      <c r="J24">
        <f>F24-H24</f>
        <v/>
      </c>
      <c r="L24" s="2">
        <f>C23</f>
        <v/>
      </c>
      <c r="M24">
        <f>-I23</f>
        <v/>
      </c>
    </row>
    <row r="25">
      <c r="L25" s="2">
        <f>C24</f>
        <v/>
      </c>
      <c r="M25">
        <f>-I24</f>
        <v/>
      </c>
    </row>
    <row r="26">
      <c r="A26" s="1" t="inlineStr">
        <is>
          <t>Total interest</t>
        </is>
      </c>
      <c r="B26">
        <f>SUM(G13:G24)</f>
        <v/>
      </c>
    </row>
    <row r="27">
      <c r="A27" s="1" t="inlineStr">
        <is>
          <t>Total payback</t>
        </is>
      </c>
      <c r="B27">
        <f>SUM(I13:I24)</f>
        <v/>
      </c>
    </row>
    <row r="28">
      <c r="A28" s="1" t="inlineStr">
        <is>
          <t>Interest share of payback</t>
        </is>
      </c>
      <c r="B28">
        <f>B26/B27</f>
        <v/>
      </c>
    </row>
    <row r="29">
      <c r="A29" s="1" t="inlineStr">
        <is>
          <t>Money received (loan - fee)</t>
        </is>
      </c>
      <c r="B29">
        <f>B3-B9</f>
        <v/>
      </c>
    </row>
    <row r="30">
      <c r="A30" s="1" t="inlineStr">
        <is>
          <t>Effective APR (XIRR)</t>
        </is>
      </c>
      <c r="B30">
        <f>XIRR(M13:M25,L13:L25)</f>
        <v/>
      </c>
    </row>
    <row r="33">
      <c r="A33" s="1" t="inlineStr">
        <is>
          <t>Expected by the page (Python reference):</t>
        </is>
      </c>
    </row>
    <row r="34">
      <c r="A34" t="inlineStr">
        <is>
          <t>totalInterest</t>
        </is>
      </c>
      <c r="B34" t="n">
        <v>0</v>
      </c>
    </row>
    <row r="35">
      <c r="A35" t="inlineStr">
        <is>
          <t>totalPayback</t>
        </is>
      </c>
      <c r="B35" t="n">
        <v>10000</v>
      </c>
    </row>
    <row r="36">
      <c r="A36" t="inlineStr">
        <is>
          <t>effectiveApr</t>
        </is>
      </c>
      <c r="B36" t="n">
        <v>0.02040816326530603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6" customWidth="1" min="4" max="4"/>
    <col width="11" customWidth="1" min="5" max="5"/>
    <col width="15" customWidth="1" min="6" max="6"/>
    <col width="10" customWidth="1" min="7" max="7"/>
    <col width="11" customWidth="1" min="8" max="8"/>
    <col width="11" customWidth="1" min="9" max="9"/>
    <col width="14" customWidth="1" min="10" max="10"/>
    <col width="2" customWidth="1" min="11" max="11"/>
    <col width="15" customWidth="1" min="12" max="12"/>
    <col width="12" customWidth="1" min="13" max="13"/>
  </cols>
  <sheetData>
    <row r="1">
      <c r="A1" s="1" t="inlineStr">
        <is>
          <t>start on 31st (month-end handling)</t>
        </is>
      </c>
    </row>
    <row r="3">
      <c r="A3" t="inlineStr">
        <is>
          <t>Loan amount</t>
        </is>
      </c>
      <c r="B3" t="n">
        <v>10000</v>
      </c>
    </row>
    <row r="4">
      <c r="A4" t="inlineStr">
        <is>
          <t>Months</t>
        </is>
      </c>
      <c r="B4" t="n">
        <v>12</v>
      </c>
    </row>
    <row r="5">
      <c r="A5" t="inlineStr">
        <is>
          <t>Start date</t>
        </is>
      </c>
      <c r="B5" s="2" t="n">
        <v>46053</v>
      </c>
    </row>
    <row r="6">
      <c r="A6" t="inlineStr">
        <is>
          <t>Day count</t>
        </is>
      </c>
      <c r="B6" t="inlineStr">
        <is>
          <t>act/365</t>
        </is>
      </c>
    </row>
    <row r="7">
      <c r="A7" t="inlineStr">
        <is>
          <t>Repayment</t>
        </is>
      </c>
      <c r="B7" t="inlineStr">
        <is>
          <t>interestOnly</t>
        </is>
      </c>
    </row>
    <row r="8">
      <c r="A8" t="inlineStr">
        <is>
          <t>Compounding</t>
        </is>
      </c>
      <c r="B8" t="inlineStr">
        <is>
          <t>none</t>
        </is>
      </c>
    </row>
    <row r="9">
      <c r="A9" t="inlineStr">
        <is>
          <t>Origination fee</t>
        </is>
      </c>
      <c r="B9" t="n">
        <v>0</v>
      </c>
    </row>
    <row r="12">
      <c r="A12" s="1" t="inlineStr">
        <is>
          <t>Month</t>
        </is>
      </c>
      <c r="B12" s="1" t="inlineStr">
        <is>
          <t>Period start</t>
        </is>
      </c>
      <c r="C12" s="1" t="inlineStr">
        <is>
          <t>Period end</t>
        </is>
      </c>
      <c r="D12" s="1" t="inlineStr">
        <is>
          <t>Days</t>
        </is>
      </c>
      <c r="E12" s="1" t="inlineStr">
        <is>
          <t>Yearly rate</t>
        </is>
      </c>
      <c r="F12" s="1" t="inlineStr">
        <is>
          <t>Balance at start</t>
        </is>
      </c>
      <c r="G12" s="1" t="inlineStr">
        <is>
          <t>Interest</t>
        </is>
      </c>
      <c r="H12" s="1" t="inlineStr">
        <is>
          <t>Principal</t>
        </is>
      </c>
      <c r="I12" s="1" t="inlineStr">
        <is>
          <t>Payment</t>
        </is>
      </c>
      <c r="J12" s="1" t="inlineStr">
        <is>
          <t>Balance after</t>
        </is>
      </c>
      <c r="L12" s="1" t="inlineStr">
        <is>
          <t>Cash-flow date</t>
        </is>
      </c>
      <c r="M12" s="1" t="inlineStr">
        <is>
          <t>Cash flow</t>
        </is>
      </c>
    </row>
    <row r="13">
      <c r="A13" t="n">
        <v>1</v>
      </c>
      <c r="B13" s="2">
        <f>EDATE($B$5,0)</f>
        <v/>
      </c>
      <c r="C13" s="2">
        <f>EDATE($B$5,1)</f>
        <v/>
      </c>
      <c r="D13">
        <f>C13-B13</f>
        <v/>
      </c>
      <c r="E13" t="n">
        <v>0.1</v>
      </c>
      <c r="F13">
        <f>$B$3</f>
        <v/>
      </c>
      <c r="G13">
        <f>ROUND(F13*E13*D13/365,2)</f>
        <v/>
      </c>
      <c r="H13" t="n">
        <v>0</v>
      </c>
      <c r="I13">
        <f>G13+H13</f>
        <v/>
      </c>
      <c r="J13">
        <f>F13-H13</f>
        <v/>
      </c>
      <c r="L13" s="2">
        <f>B5</f>
        <v/>
      </c>
      <c r="M13">
        <f>B29</f>
        <v/>
      </c>
    </row>
    <row r="14">
      <c r="A14" t="n">
        <v>2</v>
      </c>
      <c r="B14" s="2">
        <f>EDATE($B$5,1)</f>
        <v/>
      </c>
      <c r="C14" s="2">
        <f>EDATE($B$5,2)</f>
        <v/>
      </c>
      <c r="D14">
        <f>C14-B14</f>
        <v/>
      </c>
      <c r="E14" t="n">
        <v>0.1</v>
      </c>
      <c r="F14">
        <f>J13</f>
        <v/>
      </c>
      <c r="G14">
        <f>ROUND(F14*E14*D14/365,2)</f>
        <v/>
      </c>
      <c r="H14" t="n">
        <v>0</v>
      </c>
      <c r="I14">
        <f>G14+H14</f>
        <v/>
      </c>
      <c r="J14">
        <f>F14-H14</f>
        <v/>
      </c>
      <c r="L14" s="2">
        <f>C13</f>
        <v/>
      </c>
      <c r="M14">
        <f>-I13</f>
        <v/>
      </c>
    </row>
    <row r="15">
      <c r="A15" t="n">
        <v>3</v>
      </c>
      <c r="B15" s="2">
        <f>EDATE($B$5,2)</f>
        <v/>
      </c>
      <c r="C15" s="2">
        <f>EDATE($B$5,3)</f>
        <v/>
      </c>
      <c r="D15">
        <f>C15-B15</f>
        <v/>
      </c>
      <c r="E15" t="n">
        <v>0.1</v>
      </c>
      <c r="F15">
        <f>J14</f>
        <v/>
      </c>
      <c r="G15">
        <f>ROUND(F15*E15*D15/365,2)</f>
        <v/>
      </c>
      <c r="H15" t="n">
        <v>0</v>
      </c>
      <c r="I15">
        <f>G15+H15</f>
        <v/>
      </c>
      <c r="J15">
        <f>F15-H15</f>
        <v/>
      </c>
      <c r="L15" s="2">
        <f>C14</f>
        <v/>
      </c>
      <c r="M15">
        <f>-I14</f>
        <v/>
      </c>
    </row>
    <row r="16">
      <c r="A16" t="n">
        <v>4</v>
      </c>
      <c r="B16" s="2">
        <f>EDATE($B$5,3)</f>
        <v/>
      </c>
      <c r="C16" s="2">
        <f>EDATE($B$5,4)</f>
        <v/>
      </c>
      <c r="D16">
        <f>C16-B16</f>
        <v/>
      </c>
      <c r="E16" t="n">
        <v>0.1</v>
      </c>
      <c r="F16">
        <f>J15</f>
        <v/>
      </c>
      <c r="G16">
        <f>ROUND(F16*E16*D16/365,2)</f>
        <v/>
      </c>
      <c r="H16" t="n">
        <v>0</v>
      </c>
      <c r="I16">
        <f>G16+H16</f>
        <v/>
      </c>
      <c r="J16">
        <f>F16-H16</f>
        <v/>
      </c>
      <c r="L16" s="2">
        <f>C15</f>
        <v/>
      </c>
      <c r="M16">
        <f>-I15</f>
        <v/>
      </c>
    </row>
    <row r="17">
      <c r="A17" t="n">
        <v>5</v>
      </c>
      <c r="B17" s="2">
        <f>EDATE($B$5,4)</f>
        <v/>
      </c>
      <c r="C17" s="2">
        <f>EDATE($B$5,5)</f>
        <v/>
      </c>
      <c r="D17">
        <f>C17-B17</f>
        <v/>
      </c>
      <c r="E17" t="n">
        <v>0.1</v>
      </c>
      <c r="F17">
        <f>J16</f>
        <v/>
      </c>
      <c r="G17">
        <f>ROUND(F17*E17*D17/365,2)</f>
        <v/>
      </c>
      <c r="H17" t="n">
        <v>0</v>
      </c>
      <c r="I17">
        <f>G17+H17</f>
        <v/>
      </c>
      <c r="J17">
        <f>F17-H17</f>
        <v/>
      </c>
      <c r="L17" s="2">
        <f>C16</f>
        <v/>
      </c>
      <c r="M17">
        <f>-I16</f>
        <v/>
      </c>
    </row>
    <row r="18">
      <c r="A18" t="n">
        <v>6</v>
      </c>
      <c r="B18" s="2">
        <f>EDATE($B$5,5)</f>
        <v/>
      </c>
      <c r="C18" s="2">
        <f>EDATE($B$5,6)</f>
        <v/>
      </c>
      <c r="D18">
        <f>C18-B18</f>
        <v/>
      </c>
      <c r="E18" t="n">
        <v>0.1</v>
      </c>
      <c r="F18">
        <f>J17</f>
        <v/>
      </c>
      <c r="G18">
        <f>ROUND(F18*E18*D18/365,2)</f>
        <v/>
      </c>
      <c r="H18" t="n">
        <v>0</v>
      </c>
      <c r="I18">
        <f>G18+H18</f>
        <v/>
      </c>
      <c r="J18">
        <f>F18-H18</f>
        <v/>
      </c>
      <c r="L18" s="2">
        <f>C17</f>
        <v/>
      </c>
      <c r="M18">
        <f>-I17</f>
        <v/>
      </c>
    </row>
    <row r="19">
      <c r="A19" t="n">
        <v>7</v>
      </c>
      <c r="B19" s="2">
        <f>EDATE($B$5,6)</f>
        <v/>
      </c>
      <c r="C19" s="2">
        <f>EDATE($B$5,7)</f>
        <v/>
      </c>
      <c r="D19">
        <f>C19-B19</f>
        <v/>
      </c>
      <c r="E19" t="n">
        <v>0.1</v>
      </c>
      <c r="F19">
        <f>J18</f>
        <v/>
      </c>
      <c r="G19">
        <f>ROUND(F19*E19*D19/365,2)</f>
        <v/>
      </c>
      <c r="H19" t="n">
        <v>0</v>
      </c>
      <c r="I19">
        <f>G19+H19</f>
        <v/>
      </c>
      <c r="J19">
        <f>F19-H19</f>
        <v/>
      </c>
      <c r="L19" s="2">
        <f>C18</f>
        <v/>
      </c>
      <c r="M19">
        <f>-I18</f>
        <v/>
      </c>
    </row>
    <row r="20">
      <c r="A20" t="n">
        <v>8</v>
      </c>
      <c r="B20" s="2">
        <f>EDATE($B$5,7)</f>
        <v/>
      </c>
      <c r="C20" s="2">
        <f>EDATE($B$5,8)</f>
        <v/>
      </c>
      <c r="D20">
        <f>C20-B20</f>
        <v/>
      </c>
      <c r="E20" t="n">
        <v>0.1</v>
      </c>
      <c r="F20">
        <f>J19</f>
        <v/>
      </c>
      <c r="G20">
        <f>ROUND(F20*E20*D20/365,2)</f>
        <v/>
      </c>
      <c r="H20" t="n">
        <v>0</v>
      </c>
      <c r="I20">
        <f>G20+H20</f>
        <v/>
      </c>
      <c r="J20">
        <f>F20-H20</f>
        <v/>
      </c>
      <c r="L20" s="2">
        <f>C19</f>
        <v/>
      </c>
      <c r="M20">
        <f>-I19</f>
        <v/>
      </c>
    </row>
    <row r="21">
      <c r="A21" t="n">
        <v>9</v>
      </c>
      <c r="B21" s="2">
        <f>EDATE($B$5,8)</f>
        <v/>
      </c>
      <c r="C21" s="2">
        <f>EDATE($B$5,9)</f>
        <v/>
      </c>
      <c r="D21">
        <f>C21-B21</f>
        <v/>
      </c>
      <c r="E21" t="n">
        <v>0.1</v>
      </c>
      <c r="F21">
        <f>J20</f>
        <v/>
      </c>
      <c r="G21">
        <f>ROUND(F21*E21*D21/365,2)</f>
        <v/>
      </c>
      <c r="H21" t="n">
        <v>0</v>
      </c>
      <c r="I21">
        <f>G21+H21</f>
        <v/>
      </c>
      <c r="J21">
        <f>F21-H21</f>
        <v/>
      </c>
      <c r="L21" s="2">
        <f>C20</f>
        <v/>
      </c>
      <c r="M21">
        <f>-I20</f>
        <v/>
      </c>
    </row>
    <row r="22">
      <c r="A22" t="n">
        <v>10</v>
      </c>
      <c r="B22" s="2">
        <f>EDATE($B$5,9)</f>
        <v/>
      </c>
      <c r="C22" s="2">
        <f>EDATE($B$5,10)</f>
        <v/>
      </c>
      <c r="D22">
        <f>C22-B22</f>
        <v/>
      </c>
      <c r="E22" t="n">
        <v>0.1</v>
      </c>
      <c r="F22">
        <f>J21</f>
        <v/>
      </c>
      <c r="G22">
        <f>ROUND(F22*E22*D22/365,2)</f>
        <v/>
      </c>
      <c r="H22" t="n">
        <v>0</v>
      </c>
      <c r="I22">
        <f>G22+H22</f>
        <v/>
      </c>
      <c r="J22">
        <f>F22-H22</f>
        <v/>
      </c>
      <c r="L22" s="2">
        <f>C21</f>
        <v/>
      </c>
      <c r="M22">
        <f>-I21</f>
        <v/>
      </c>
    </row>
    <row r="23">
      <c r="A23" t="n">
        <v>11</v>
      </c>
      <c r="B23" s="2">
        <f>EDATE($B$5,10)</f>
        <v/>
      </c>
      <c r="C23" s="2">
        <f>EDATE($B$5,11)</f>
        <v/>
      </c>
      <c r="D23">
        <f>C23-B23</f>
        <v/>
      </c>
      <c r="E23" t="n">
        <v>0.1</v>
      </c>
      <c r="F23">
        <f>J22</f>
        <v/>
      </c>
      <c r="G23">
        <f>ROUND(F23*E23*D23/365,2)</f>
        <v/>
      </c>
      <c r="H23" t="n">
        <v>0</v>
      </c>
      <c r="I23">
        <f>G23+H23</f>
        <v/>
      </c>
      <c r="J23">
        <f>F23-H23</f>
        <v/>
      </c>
      <c r="L23" s="2">
        <f>C22</f>
        <v/>
      </c>
      <c r="M23">
        <f>-I22</f>
        <v/>
      </c>
    </row>
    <row r="24">
      <c r="A24" t="n">
        <v>12</v>
      </c>
      <c r="B24" s="2">
        <f>EDATE($B$5,11)</f>
        <v/>
      </c>
      <c r="C24" s="2">
        <f>EDATE($B$5,12)</f>
        <v/>
      </c>
      <c r="D24">
        <f>C24-B24</f>
        <v/>
      </c>
      <c r="E24" t="n">
        <v>0.1</v>
      </c>
      <c r="F24">
        <f>J23</f>
        <v/>
      </c>
      <c r="G24">
        <f>ROUND(F24*E24*D24/365,2)</f>
        <v/>
      </c>
      <c r="H24">
        <f>F24</f>
        <v/>
      </c>
      <c r="I24">
        <f>G24+H24</f>
        <v/>
      </c>
      <c r="J24">
        <f>F24-H24</f>
        <v/>
      </c>
      <c r="L24" s="2">
        <f>C23</f>
        <v/>
      </c>
      <c r="M24">
        <f>-I23</f>
        <v/>
      </c>
    </row>
    <row r="25">
      <c r="L25" s="2">
        <f>C24</f>
        <v/>
      </c>
      <c r="M25">
        <f>-I24</f>
        <v/>
      </c>
    </row>
    <row r="26">
      <c r="A26" s="1" t="inlineStr">
        <is>
          <t>Total interest</t>
        </is>
      </c>
      <c r="B26">
        <f>SUM(G13:G24)</f>
        <v/>
      </c>
    </row>
    <row r="27">
      <c r="A27" s="1" t="inlineStr">
        <is>
          <t>Total payback</t>
        </is>
      </c>
      <c r="B27">
        <f>SUM(I13:I24)</f>
        <v/>
      </c>
    </row>
    <row r="28">
      <c r="A28" s="1" t="inlineStr">
        <is>
          <t>Interest share of payback</t>
        </is>
      </c>
      <c r="B28">
        <f>B26/B27</f>
        <v/>
      </c>
    </row>
    <row r="29">
      <c r="A29" s="1" t="inlineStr">
        <is>
          <t>Money received (loan - fee)</t>
        </is>
      </c>
      <c r="B29">
        <f>B3-B9</f>
        <v/>
      </c>
    </row>
    <row r="30">
      <c r="A30" s="1" t="inlineStr">
        <is>
          <t>Effective APR (XIRR)</t>
        </is>
      </c>
      <c r="B30">
        <f>XIRR(M13:M25,L13:L25)</f>
        <v/>
      </c>
    </row>
    <row r="33">
      <c r="A33" s="1" t="inlineStr">
        <is>
          <t>Expected by the page (Python reference):</t>
        </is>
      </c>
    </row>
    <row r="34">
      <c r="A34" t="inlineStr">
        <is>
          <t>totalInterest</t>
        </is>
      </c>
      <c r="B34" t="n">
        <v>999.98</v>
      </c>
    </row>
    <row r="35">
      <c r="A35" t="inlineStr">
        <is>
          <t>totalPayback</t>
        </is>
      </c>
      <c r="B35" t="n">
        <v>10999.98</v>
      </c>
    </row>
    <row r="36">
      <c r="A36" t="inlineStr">
        <is>
          <t>effectiveApr</t>
        </is>
      </c>
      <c r="B36" t="n">
        <v>0.1047106679348394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2026-10-15T10:19:55Z</dcterms:created>
  <dcterms:modified xsi:type="dcterms:W3CDTF">2026-10-15T10:19:55Z</dcterms:modified>
</cp:coreProperties>
</file>